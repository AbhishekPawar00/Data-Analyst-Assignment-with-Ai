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 Quality Review" sheetId="2" state="visible" r:id="rId4"/>
    <sheet name="Analysis" sheetId="3" state="visible" r:id="rId5"/>
    <sheet name="Clean_Data" sheetId="4" state="visible" r:id="rId6"/>
    <sheet name="Raw_Data" sheetId="5" state="visible" r:id="rId7"/>
    <sheet name="DQ_Checks" sheetId="6" state="visible" r:id="rId8"/>
    <sheet name="Lists" sheetId="7" state="visible" r:id="rId9"/>
  </sheets>
  <definedNames>
    <definedName function="false" hidden="true" localSheetId="3" name="_xlnm._FilterDatabase" vbProcedure="false">Clean_Data!$A$1:$AB$85</definedName>
    <definedName function="false" hidden="false" localSheetId="0" name="_xlnm.Print_Area" vbProcedure="false">Dashboard!$A$1:$T$91</definedName>
    <definedName function="false" hidden="true" localSheetId="4" name="_xlnm._FilterDatabase" vbProcedure="false">Raw_Data!$A$1:$P$92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<sst xmlns="http://schemas.openxmlformats.org/spreadsheetml/2006/main" count="2652" uniqueCount="744">
  <si>
    <t xml:space="preserve">EMBASSY OUTREACH - LEADERSHIP DASHBOARD</t>
  </si>
  <si>
    <t xml:space="preserve">TOTAL EMBASSIES</t>
  </si>
  <si>
    <t xml:space="preserve">CONTACTED</t>
  </si>
  <si>
    <t xml:space="preserve">FULLY ENGAGED</t>
  </si>
  <si>
    <t xml:space="preserve">LIVE PIPELINE</t>
  </si>
  <si>
    <t xml:space="preserve">OVERDUE FOLLOW-UPS</t>
  </si>
  <si>
    <t xml:space="preserve">STALE (NO CONTACT)</t>
  </si>
  <si>
    <t xml:space="preserve">KEY INSIGHTS</t>
  </si>
  <si>
    <t xml:space="preserve">PIPELINE &amp; ENGAGEMENT</t>
  </si>
  <si>
    <t xml:space="preserve">REGIONAL &amp; TEAM VIEW</t>
  </si>
  <si>
    <t xml:space="preserve">REGIONAL SCORECARD</t>
  </si>
  <si>
    <t xml:space="preserve">Region</t>
  </si>
  <si>
    <t xml:space="preserve">Embassies</t>
  </si>
  <si>
    <t xml:space="preserve">Contacted</t>
  </si>
  <si>
    <t xml:space="preserve">Engaged</t>
  </si>
  <si>
    <t xml:space="preserve">Engaged %</t>
  </si>
  <si>
    <t xml:space="preserve">High Engage-ment</t>
  </si>
  <si>
    <t xml:space="preserve">Avg Interact-ions</t>
  </si>
  <si>
    <t xml:space="preserve">Overdue</t>
  </si>
  <si>
    <t xml:space="preserve">Stale</t>
  </si>
  <si>
    <t xml:space="preserve">No Owner</t>
  </si>
  <si>
    <t xml:space="preserve">Not Started</t>
  </si>
  <si>
    <t xml:space="preserve">Assessment</t>
  </si>
  <si>
    <t xml:space="preserve">Overall</t>
  </si>
  <si>
    <t xml:space="preserve">PRIORITY ATTENTION LIST - live embassies needing action first (ranked by Priority Score)</t>
  </si>
  <si>
    <t xml:space="preserve">#</t>
  </si>
  <si>
    <t xml:space="preserve">Embassy</t>
  </si>
  <si>
    <t xml:space="preserve">Status</t>
  </si>
  <si>
    <t xml:space="preserve">Owner</t>
  </si>
  <si>
    <t xml:space="preserve">Engage-ment</t>
  </si>
  <si>
    <t xml:space="preserve">Days since contact</t>
  </si>
  <si>
    <t xml:space="preserve">Next follow-up</t>
  </si>
  <si>
    <t xml:space="preserve">Issues</t>
  </si>
  <si>
    <t xml:space="preserve">EMB-053</t>
  </si>
  <si>
    <t xml:space="preserve">EMB-052</t>
  </si>
  <si>
    <t xml:space="preserve">EMB-020</t>
  </si>
  <si>
    <t xml:space="preserve">EMB-024</t>
  </si>
  <si>
    <t xml:space="preserve">EMB-018</t>
  </si>
  <si>
    <t xml:space="preserve">EMB-050</t>
  </si>
  <si>
    <t xml:space="preserve">EMB-042</t>
  </si>
  <si>
    <t xml:space="preserve">EMB-081</t>
  </si>
  <si>
    <t xml:space="preserve">EMB-012</t>
  </si>
  <si>
    <t xml:space="preserve">EMB-070</t>
  </si>
  <si>
    <t xml:space="preserve">EMB-002</t>
  </si>
  <si>
    <t xml:space="preserve">EMB-057</t>
  </si>
  <si>
    <t xml:space="preserve">Priority Score = overdue follow-up (2) + stale (2) + no follow-up date (1) + no owner (1) + engagement High (2) / Medium (1). Higher engagement ranks higher because relationships at risk are the most valuable to protect. Full ranking: Clean_Data column AA.</t>
  </si>
  <si>
    <t xml:space="preserve">Note: figures are calculated by formula from Clean_Data and update when data is refreshed. The attention-list ranking (IDs) is a snapshot at the report date; re-sort Clean_Data by Priority Score to refresh it.</t>
  </si>
  <si>
    <t xml:space="preserve">Data Quality Review - Embassy Outreach Database</t>
  </si>
  <si>
    <t xml:space="preserve">Raw records</t>
  </si>
  <si>
    <t xml:space="preserve">Records with &gt;=1 issue</t>
  </si>
  <si>
    <t xml:space="preserve">Clean-record rate</t>
  </si>
  <si>
    <t xml:space="preserve">Duplicates removed</t>
  </si>
  <si>
    <t xml:space="preserve">A. Issue log (counts are live formulas on Raw_Data / Clean_Data)</t>
  </si>
  <si>
    <t xml:space="preserve">Category</t>
  </si>
  <si>
    <t xml:space="preserve">Issue</t>
  </si>
  <si>
    <t xml:space="preserve">Field(s)</t>
  </si>
  <si>
    <t xml:space="preserve">Records affected</t>
  </si>
  <si>
    <t xml:space="preserve">% of base</t>
  </si>
  <si>
    <t xml:space="preserve">Severity</t>
  </si>
  <si>
    <t xml:space="preserve">Why it matters</t>
  </si>
  <si>
    <t xml:space="preserve">Recommended action</t>
  </si>
  <si>
    <t xml:space="preserve">Uniqueness</t>
  </si>
  <si>
    <t xml:space="preserve">Duplicate embassy records (same ID or same embassy under a different name/ID)</t>
  </si>
  <si>
    <t xml:space="preserve">Embassy_ID, Country</t>
  </si>
  <si>
    <t xml:space="preserve">High</t>
  </si>
  <si>
    <t xml:space="preserve">Double-counts embassies and splits interaction history, inflating pipeline totals.</t>
  </si>
  <si>
    <t xml:space="preserve">Enforce one record per embassy; use a unique-ID lookup and a duplicate check before saving new entries.</t>
  </si>
  <si>
    <t xml:space="preserve">Rows sharing an Embassy_ID with another row</t>
  </si>
  <si>
    <t xml:space="preserve">Embassy_ID</t>
  </si>
  <si>
    <t xml:space="preserve">Same ID used for stale and updated versions - cannot tell which is current.</t>
  </si>
  <si>
    <t xml:space="preserve">Keep the latest record; archive history in a separate interaction log.</t>
  </si>
  <si>
    <t xml:space="preserve">Completeness</t>
  </si>
  <si>
    <t xml:space="preserve">Embassy_ID missing</t>
  </si>
  <si>
    <t xml:space="preserve">Record cannot be linked or de-duplicated reliably.</t>
  </si>
  <si>
    <t xml:space="preserve">Assign IDs from the master embassy list (done in Clean_Data).</t>
  </si>
  <si>
    <t xml:space="preserve">Consistency</t>
  </si>
  <si>
    <t xml:space="preserve">Country name not matching master list (aliases, case, stray spaces)</t>
  </si>
  <si>
    <t xml:space="preserve">Country</t>
  </si>
  <si>
    <t xml:space="preserve">Region/country roll-ups and lookups fail (e.g. 'USA' vs 'United States').</t>
  </si>
  <si>
    <t xml:space="preserve">Use a dropdown tied to the master country list.</t>
  </si>
  <si>
    <t xml:space="preserve">Outreach status entered in non-standard spellings</t>
  </si>
  <si>
    <t xml:space="preserve">Outreach_Status</t>
  </si>
  <si>
    <t xml:space="preserve">Status counts split across variants; pipeline funnel is unreliable until cleaned.</t>
  </si>
  <si>
    <t xml:space="preserve">Restrict to 7 standard statuses via data validation.</t>
  </si>
  <si>
    <t xml:space="preserve">Region missing</t>
  </si>
  <si>
    <t xml:space="preserve">Medium</t>
  </si>
  <si>
    <t xml:space="preserve">Embassy is excluded from regional analysis.</t>
  </si>
  <si>
    <t xml:space="preserve">Derive region from country (done in Clean_Data).</t>
  </si>
  <si>
    <t xml:space="preserve">Region written in non-standard form (APAC, MENA, Africa...)</t>
  </si>
  <si>
    <t xml:space="preserve">Regional totals fragment.</t>
  </si>
  <si>
    <t xml:space="preserve">Standard 6-region list with dropdown.</t>
  </si>
  <si>
    <t xml:space="preserve">Accuracy</t>
  </si>
  <si>
    <t xml:space="preserve">Region conflicts with the country's standard region (e.g. Egypt tagged Sub-Saharan Africa)</t>
  </si>
  <si>
    <t xml:space="preserve">Region, Country</t>
  </si>
  <si>
    <t xml:space="preserve">Mis-allocates embassies between regions.</t>
  </si>
  <si>
    <t xml:space="preserve">Region derived from master list, not typed manually.</t>
  </si>
  <si>
    <t xml:space="preserve">Email missing</t>
  </si>
  <si>
    <t xml:space="preserve">Email</t>
  </si>
  <si>
    <t xml:space="preserve">Embassy cannot be contacted by email.</t>
  </si>
  <si>
    <t xml:space="preserve">Source from embassy directory / protocol office.</t>
  </si>
  <si>
    <t xml:space="preserve">Validity</t>
  </si>
  <si>
    <t xml:space="preserve">Email invalid (no '@' or no domain dot)</t>
  </si>
  <si>
    <t xml:space="preserve">Bounced outreach and false 'contactable' impression.</t>
  </si>
  <si>
    <t xml:space="preserve">Validate on entry; verify bounced addresses.</t>
  </si>
  <si>
    <t xml:space="preserve">Phone missing</t>
  </si>
  <si>
    <t xml:space="preserve">Phone</t>
  </si>
  <si>
    <t xml:space="preserve">Low</t>
  </si>
  <si>
    <t xml:space="preserve">No fallback contact route.</t>
  </si>
  <si>
    <t xml:space="preserve">Collect landline/mobile for each primary contact.</t>
  </si>
  <si>
    <t xml:space="preserve">Phone in mixed or incomplete formats</t>
  </si>
  <si>
    <t xml:space="preserve">Hard to dial or de-duplicate; truncated numbers unusable.</t>
  </si>
  <si>
    <t xml:space="preserve">Standard format +91 XX XXXX XXXX; re-verify truncated numbers.</t>
  </si>
  <si>
    <t xml:space="preserve">Outreach owner not assigned (raw)</t>
  </si>
  <si>
    <t xml:space="preserve">Outreach_Owner</t>
  </si>
  <si>
    <t xml:space="preserve">No accountability for follow-up.</t>
  </si>
  <si>
    <t xml:space="preserve">Assign an owner to every embassy; review monthly.</t>
  </si>
  <si>
    <t xml:space="preserve">Engagement level missing for contacted embassies</t>
  </si>
  <si>
    <t xml:space="preserve">Engagement_Level</t>
  </si>
  <si>
    <t xml:space="preserve">Cannot prioritise by engagement strength.</t>
  </si>
  <si>
    <t xml:space="preserve">Make engagement rating mandatory once status &gt; Not Started.</t>
  </si>
  <si>
    <t xml:space="preserve">Last contact date missing for contacted embassies</t>
  </si>
  <si>
    <t xml:space="preserve">Last_Contact_Date</t>
  </si>
  <si>
    <t xml:space="preserve">Recency / staleness cannot be measured.</t>
  </si>
  <si>
    <t xml:space="preserve">Mandatory date field when status changes.</t>
  </si>
  <si>
    <t xml:space="preserve">Interactions count blank</t>
  </si>
  <si>
    <t xml:space="preserve">Interactions</t>
  </si>
  <si>
    <t xml:space="preserve">Understates engagement effort.</t>
  </si>
  <si>
    <t xml:space="preserve">Default to 0; update from the interaction log.</t>
  </si>
  <si>
    <t xml:space="preserve">Negative number of interactions</t>
  </si>
  <si>
    <t xml:space="preserve">Impossible value distorts averages.</t>
  </si>
  <si>
    <t xml:space="preserve">Add &gt;=0 validation rule.</t>
  </si>
  <si>
    <t xml:space="preserve">Dates stored as text in mixed formats (dd/mm/yyyy, yyyy-mm-dd, dd-mmm-yy)</t>
  </si>
  <si>
    <t xml:space="preserve">First/Last/Next dates</t>
  </si>
  <si>
    <t xml:space="preserve">Text dates fail date maths; dd/mm vs mm/dd ambiguity risk.</t>
  </si>
  <si>
    <t xml:space="preserve">Store true Excel dates; use a date-picker.</t>
  </si>
  <si>
    <t xml:space="preserve">Extra leading/trailing spaces in names</t>
  </si>
  <si>
    <t xml:space="preserve">Country, Contact_Person</t>
  </si>
  <si>
    <t xml:space="preserve">Breaks look-ups and filters.</t>
  </si>
  <si>
    <t xml:space="preserve">TRIM on entry/import.</t>
  </si>
  <si>
    <t xml:space="preserve">'Not Started' embassies that show interactions or a last-contact date</t>
  </si>
  <si>
    <t xml:space="preserve">Status, Interactions, Last contact</t>
  </si>
  <si>
    <t xml:space="preserve">Status is understated or activity is mis-recorded.</t>
  </si>
  <si>
    <t xml:space="preserve">Confirm with owner and correct status.</t>
  </si>
  <si>
    <t xml:space="preserve">Last contact earlier than First contact (cleaned data)</t>
  </si>
  <si>
    <t xml:space="preserve">First/Last contact</t>
  </si>
  <si>
    <t xml:space="preserve">Impossible chronology; recency metrics unreliable.</t>
  </si>
  <si>
    <t xml:space="preserve">Verify against correspondence; fix dates.</t>
  </si>
  <si>
    <t xml:space="preserve">Last contact date in the future (cleaned data)</t>
  </si>
  <si>
    <t xml:space="preserve">Last contact</t>
  </si>
  <si>
    <t xml:space="preserve">Cannot be true as of the report date; hides stale accounts.</t>
  </si>
  <si>
    <t xml:space="preserve">Correct to actual contact date.</t>
  </si>
  <si>
    <t xml:space="preserve">Remarks say 'declined' while status is live (cleaned data)</t>
  </si>
  <si>
    <t xml:space="preserve">Remarks vs Status</t>
  </si>
  <si>
    <t xml:space="preserve">Pipeline overstated; resources spent on declined embassies.</t>
  </si>
  <si>
    <t xml:space="preserve">Reconcile status with remarks; move to Closed if confirmed.</t>
  </si>
  <si>
    <t xml:space="preserve">Timeliness</t>
  </si>
  <si>
    <t xml:space="preserve">Live embassies with no follow-up date (cleaned data)</t>
  </si>
  <si>
    <t xml:space="preserve">Next_Followup_Date</t>
  </si>
  <si>
    <t xml:space="preserve">No scheduled next step - risk of silent drop-off.</t>
  </si>
  <si>
    <t xml:space="preserve">Require a next-step date for every live embassy.</t>
  </si>
  <si>
    <t xml:space="preserve">Follow-up date already passed (overdue)</t>
  </si>
  <si>
    <t xml:space="preserve">Missed commitments damage relationships.</t>
  </si>
  <si>
    <t xml:space="preserve">Owners to action or reschedule within 1 week.</t>
  </si>
  <si>
    <t xml:space="preserve">Live embassies with no contact beyond the stale threshold</t>
  </si>
  <si>
    <t xml:space="preserve">Relationships going cold.</t>
  </si>
  <si>
    <t xml:space="preserve">Re-engage or formally pause.</t>
  </si>
  <si>
    <t xml:space="preserve">Outreach owner still missing after cleaning</t>
  </si>
  <si>
    <t xml:space="preserve">Needs a manual decision - cannot be derived.</t>
  </si>
  <si>
    <t xml:space="preserve">Management to assign owners.</t>
  </si>
  <si>
    <t xml:space="preserve">Email still invalid/missing after cleaning</t>
  </si>
  <si>
    <t xml:space="preserve">Needs source verification.</t>
  </si>
  <si>
    <t xml:space="preserve">Verify with embassy.</t>
  </si>
  <si>
    <t xml:space="preserve">% of base: issues #1-20 use the raw record count; issues #21 onward use the cleaned unique-embassy count. Severity is a judgement based on impact on decision-making.</t>
  </si>
  <si>
    <t xml:space="preserve">B. Key observations</t>
  </si>
  <si>
    <t xml:space="preserve">C. Cleaning steps applied (to produce Clean_Data)</t>
  </si>
  <si>
    <t xml:space="preserve">1. Trimmed spaces; standardised country names to the master list (USA -&gt; United States, UK, UAE, Czechia, etc.).</t>
  </si>
  <si>
    <t xml:space="preserve">2. Mapped all status spellings to 7 standard statuses (e.g. 'In-Discussion', 'in discussion', 'In Discusion' -&gt; In Discussion; 'Partnered' -&gt; Engaged).</t>
  </si>
  <si>
    <t xml:space="preserve">3. Region and Embassy_ID re-derived from the master country list (fixes 'MENA', 'APAC', blanks and wrong-region tags).</t>
  </si>
  <si>
    <t xml:space="preserve">4. Text dates converted to true Excel dates (assumed dd/mm/yyyy where ambiguous).</t>
  </si>
  <si>
    <t xml:space="preserve">5. Phone numbers re-formatted to +91 XX XXXX XXXX where 10 digits could be recovered; unrecoverable numbers left as entered and flagged.</t>
  </si>
  <si>
    <t xml:space="preserve">6. Duplicates resolved by keeping one record per embassy - the one with the most recent last-contact date. Removed rows remain visible in Raw_Data.</t>
  </si>
  <si>
    <t xml:space="preserve">7. NOT imputed: owner, engagement level, interactions, follow-up dates, email - left blank and flagged, because guessing would hide the real gap.</t>
  </si>
  <si>
    <t xml:space="preserve">Analysis Workings - all dashboard figures are calculated here from Clean_Data</t>
  </si>
  <si>
    <t xml:space="preserve">Report date (input)</t>
  </si>
  <si>
    <t xml:space="preserve">Fixed as-of date so the report is reproducible. Replace with =TODAY() for a live view.</t>
  </si>
  <si>
    <t xml:space="preserve">Stale threshold - days without contact (input)</t>
  </si>
  <si>
    <t xml:space="preserve">Assumption: a live embassy with no recorded contact in this many days is 'stale'.</t>
  </si>
  <si>
    <t xml:space="preserve">Attention list size</t>
  </si>
  <si>
    <t xml:space="preserve">Top records by Priority Score shown on the Dashboard.</t>
  </si>
  <si>
    <t xml:space="preserve">1. Outreach status pipeline</t>
  </si>
  <si>
    <t xml:space="preserve">Outreach Status</t>
  </si>
  <si>
    <t xml:space="preserve">% of Total</t>
  </si>
  <si>
    <t xml:space="preserve">Initial Contact</t>
  </si>
  <si>
    <t xml:space="preserve">In Discussion</t>
  </si>
  <si>
    <t xml:space="preserve">Meeting Scheduled</t>
  </si>
  <si>
    <t xml:space="preserve">On Hold</t>
  </si>
  <si>
    <t xml:space="preserve">Closed</t>
  </si>
  <si>
    <t xml:space="preserve">Total</t>
  </si>
  <si>
    <t xml:space="preserve">2. Engagement level</t>
  </si>
  <si>
    <t xml:space="preserve">Engagement Level</t>
  </si>
  <si>
    <t xml:space="preserve">Not rated</t>
  </si>
  <si>
    <t xml:space="preserve">3. Regional performance</t>
  </si>
  <si>
    <t xml:space="preserve">High Engagement</t>
  </si>
  <si>
    <t xml:space="preserve">Avg Interactions</t>
  </si>
  <si>
    <t xml:space="preserve">Overdue Follow-ups</t>
  </si>
  <si>
    <t xml:space="preserve">Early / Active Stage</t>
  </si>
  <si>
    <t xml:space="preserve">On Hold / Closed</t>
  </si>
  <si>
    <t xml:space="preserve">Europe</t>
  </si>
  <si>
    <t xml:space="preserve">Asia-Pacific</t>
  </si>
  <si>
    <t xml:space="preserve">Middle East &amp; North Africa</t>
  </si>
  <si>
    <t xml:space="preserve">Sub-Saharan Africa</t>
  </si>
  <si>
    <t xml:space="preserve">Americas</t>
  </si>
  <si>
    <t xml:space="preserve">South &amp; Central Asia</t>
  </si>
  <si>
    <t xml:space="preserve">4. Owner workload</t>
  </si>
  <si>
    <t xml:space="preserve">Outreach Owner</t>
  </si>
  <si>
    <t xml:space="preserve">Live Pipeline</t>
  </si>
  <si>
    <t xml:space="preserve">Avg Days Since Contact</t>
  </si>
  <si>
    <t xml:space="preserve">Anita Deshmukh</t>
  </si>
  <si>
    <t xml:space="preserve">Rahul Verma</t>
  </si>
  <si>
    <t xml:space="preserve">Priya Nair</t>
  </si>
  <si>
    <t xml:space="preserve">Sameer Khan</t>
  </si>
  <si>
    <t xml:space="preserve">Neha Kulkarni</t>
  </si>
  <si>
    <t xml:space="preserve">Arjun Mehta</t>
  </si>
  <si>
    <t xml:space="preserve">Unassigned</t>
  </si>
  <si>
    <t xml:space="preserve">5. Outreach channel mix</t>
  </si>
  <si>
    <t xml:space="preserve">Channel</t>
  </si>
  <si>
    <t xml:space="preserve">% of Contacted</t>
  </si>
  <si>
    <t xml:space="preserve">Meeting</t>
  </si>
  <si>
    <t xml:space="preserve">Event</t>
  </si>
  <si>
    <t xml:space="preserve">Official Letter</t>
  </si>
  <si>
    <t xml:space="preserve">Not recorded</t>
  </si>
  <si>
    <t xml:space="preserve">Total (contacted)</t>
  </si>
  <si>
    <t xml:space="preserve">6. Outreach activity - embassies by month of last contact (last 12 months)</t>
  </si>
  <si>
    <t xml:space="preserve">Month start</t>
  </si>
  <si>
    <t xml:space="preserve">Embassies last contacted</t>
  </si>
  <si>
    <t xml:space="preserve">Label</t>
  </si>
  <si>
    <t xml:space="preserve">Embassy (Country)</t>
  </si>
  <si>
    <t xml:space="preserve">Contact Person</t>
  </si>
  <si>
    <t xml:space="preserve">Designation</t>
  </si>
  <si>
    <t xml:space="preserve">First Contact</t>
  </si>
  <si>
    <t xml:space="preserve">Last Contact</t>
  </si>
  <si>
    <t xml:space="preserve">Next Follow-up</t>
  </si>
  <si>
    <t xml:space="preserve">Remarks</t>
  </si>
  <si>
    <t xml:space="preserve">Live Pipeline (1/0)</t>
  </si>
  <si>
    <t xml:space="preserve">Days Since Last Contact</t>
  </si>
  <si>
    <t xml:space="preserve">Follow-up Overdue (1/0)</t>
  </si>
  <si>
    <t xml:space="preserve">Stale (1/0)</t>
  </si>
  <si>
    <t xml:space="preserve">No Follow-up Date (1/0)</t>
  </si>
  <si>
    <t xml:space="preserve">Email Check</t>
  </si>
  <si>
    <t xml:space="preserve">Phone Check</t>
  </si>
  <si>
    <t xml:space="preserve">Last Contact &lt; First Contact (1/0)</t>
  </si>
  <si>
    <t xml:space="preserve">Future-dated Last Contact (1/0)</t>
  </si>
  <si>
    <t xml:space="preserve">Remark Conflicts Status (1/0)</t>
  </si>
  <si>
    <t xml:space="preserve">Priority Score</t>
  </si>
  <si>
    <t xml:space="preserve">Attention Issues</t>
  </si>
  <si>
    <t xml:space="preserve">Cleaned &amp; de-duplicated dataset. Columns A-P = standardised source data; Q-AB (blue headers) = formulas that drive the Dashboard.</t>
  </si>
  <si>
    <t xml:space="preserve">EMB-001</t>
  </si>
  <si>
    <t xml:space="preserve">France</t>
  </si>
  <si>
    <t xml:space="preserve">Mei Schmidt</t>
  </si>
  <si>
    <t xml:space="preserve">Counsellor (Public Affairs)</t>
  </si>
  <si>
    <t xml:space="preserve">mei.schmidt@france.embassy.example</t>
  </si>
  <si>
    <t xml:space="preserve">+91 91399 86987</t>
  </si>
  <si>
    <t xml:space="preserve">Priority list - Q4</t>
  </si>
  <si>
    <t xml:space="preserve">Germany</t>
  </si>
  <si>
    <t xml:space="preserve">Stefan Haddad</t>
  </si>
  <si>
    <t xml:space="preserve">Commercial Counsellor</t>
  </si>
  <si>
    <t xml:space="preserve">stefan.haddad@germany.embassy.example</t>
  </si>
  <si>
    <t xml:space="preserve">+91 11 8170 7536</t>
  </si>
  <si>
    <t xml:space="preserve">Intro call held</t>
  </si>
  <si>
    <t xml:space="preserve">EMB-003</t>
  </si>
  <si>
    <t xml:space="preserve">Italy</t>
  </si>
  <si>
    <t xml:space="preserve">Kwame Okafor</t>
  </si>
  <si>
    <t xml:space="preserve">kwame.okafor@italy.embassy.example</t>
  </si>
  <si>
    <t xml:space="preserve">+91 11 2698 7168</t>
  </si>
  <si>
    <t xml:space="preserve">Awaiting HQ approval</t>
  </si>
  <si>
    <t xml:space="preserve">EMB-004</t>
  </si>
  <si>
    <t xml:space="preserve">Spain</t>
  </si>
  <si>
    <t xml:space="preserve">Leila Bergstrom</t>
  </si>
  <si>
    <t xml:space="preserve">Protocol Officer</t>
  </si>
  <si>
    <t xml:space="preserve">leila.bergstrom@spain.embassy.example</t>
  </si>
  <si>
    <t xml:space="preserve">+91 11 3731 7784</t>
  </si>
  <si>
    <t xml:space="preserve">Regular quarterly touchpoints</t>
  </si>
  <si>
    <t xml:space="preserve">EMB-005</t>
  </si>
  <si>
    <t xml:space="preserve">Portugal</t>
  </si>
  <si>
    <t xml:space="preserve">Omar Khalil</t>
  </si>
  <si>
    <t xml:space="preserve">omar.khalil@portugal.embassy.example</t>
  </si>
  <si>
    <t xml:space="preserve">+91 97876 80457</t>
  </si>
  <si>
    <t xml:space="preserve">Positive response</t>
  </si>
  <si>
    <t xml:space="preserve">EMB-006</t>
  </si>
  <si>
    <t xml:space="preserve">Netherlands</t>
  </si>
  <si>
    <t xml:space="preserve">Carla Alvarez</t>
  </si>
  <si>
    <t xml:space="preserve">carla.alvarez@netherlands.embassy.example</t>
  </si>
  <si>
    <t xml:space="preserve">+91 11 8193 3190</t>
  </si>
  <si>
    <t xml:space="preserve">Contact details to be verified</t>
  </si>
  <si>
    <t xml:space="preserve">EMB-007</t>
  </si>
  <si>
    <t xml:space="preserve">Belgium</t>
  </si>
  <si>
    <t xml:space="preserve">Amara Okafor</t>
  </si>
  <si>
    <t xml:space="preserve">amara.okafor@belgium.embassy.example</t>
  </si>
  <si>
    <t xml:space="preserve">+91 11 4997 2837</t>
  </si>
  <si>
    <t xml:space="preserve">EMB-008</t>
  </si>
  <si>
    <t xml:space="preserve">Switzerland</t>
  </si>
  <si>
    <t xml:space="preserve">Elena Rossi</t>
  </si>
  <si>
    <t xml:space="preserve">elena.rossi@switzerland.embassy.example</t>
  </si>
  <si>
    <t xml:space="preserve">+91 11 4475 1779</t>
  </si>
  <si>
    <t xml:space="preserve">Meeting with Ambassador pending</t>
  </si>
  <si>
    <t xml:space="preserve">EMB-009</t>
  </si>
  <si>
    <t xml:space="preserve">Austria</t>
  </si>
  <si>
    <t xml:space="preserve">Amara Petrov</t>
  </si>
  <si>
    <t xml:space="preserve">Second Secretary</t>
  </si>
  <si>
    <t xml:space="preserve">+91 11 7028 3</t>
  </si>
  <si>
    <t xml:space="preserve">EMB-010</t>
  </si>
  <si>
    <t xml:space="preserve">Sweden</t>
  </si>
  <si>
    <t xml:space="preserve">Joao Garcia</t>
  </si>
  <si>
    <t xml:space="preserve">joao.garcia@sweden.embassy.example</t>
  </si>
  <si>
    <t xml:space="preserve">+91 96425 24776</t>
  </si>
  <si>
    <t xml:space="preserve">Awaiting acknowledgement</t>
  </si>
  <si>
    <t xml:space="preserve">EMB-011</t>
  </si>
  <si>
    <t xml:space="preserve">Norway</t>
  </si>
  <si>
    <t xml:space="preserve">Diego Mensah</t>
  </si>
  <si>
    <t xml:space="preserve">diego.mensah@norway.embassy.example</t>
  </si>
  <si>
    <t xml:space="preserve">+91 95258 98319</t>
  </si>
  <si>
    <t xml:space="preserve">Paused - elections</t>
  </si>
  <si>
    <t xml:space="preserve">Denmark</t>
  </si>
  <si>
    <t xml:space="preserve">Mei Moreau</t>
  </si>
  <si>
    <t xml:space="preserve">First Secretary (Political)</t>
  </si>
  <si>
    <t xml:space="preserve">mei.moreau@denmark.embassy.example</t>
  </si>
  <si>
    <t xml:space="preserve">+91 11 8145 2441</t>
  </si>
  <si>
    <t xml:space="preserve">Date to be confirmed</t>
  </si>
  <si>
    <t xml:space="preserve">EMB-013</t>
  </si>
  <si>
    <t xml:space="preserve">Finland</t>
  </si>
  <si>
    <t xml:space="preserve">Stefan Petrov</t>
  </si>
  <si>
    <t xml:space="preserve">stefan.petrov@finland.embassy.example</t>
  </si>
  <si>
    <t xml:space="preserve">+91 11 5158 4645</t>
  </si>
  <si>
    <t xml:space="preserve">EMB-014</t>
  </si>
  <si>
    <t xml:space="preserve">Poland</t>
  </si>
  <si>
    <t xml:space="preserve">Aisha Tanaka</t>
  </si>
  <si>
    <t xml:space="preserve">Press &amp; Information Officer</t>
  </si>
  <si>
    <t xml:space="preserve">aisha.tanaka@poland.embassy.example</t>
  </si>
  <si>
    <t xml:space="preserve">+91 11 4940 6925</t>
  </si>
  <si>
    <t xml:space="preserve">EMB-015</t>
  </si>
  <si>
    <t xml:space="preserve">Czech Republic</t>
  </si>
  <si>
    <t xml:space="preserve">Sofia Larsen</t>
  </si>
  <si>
    <t xml:space="preserve">sofia.larsen@czechrepubli.embassy.example</t>
  </si>
  <si>
    <t xml:space="preserve">+91 99128 08458</t>
  </si>
  <si>
    <t xml:space="preserve">Reviewing MoU wording</t>
  </si>
  <si>
    <t xml:space="preserve">EMB-016</t>
  </si>
  <si>
    <t xml:space="preserve">Hungary</t>
  </si>
  <si>
    <t xml:space="preserve">Fatima Moreau</t>
  </si>
  <si>
    <t xml:space="preserve">Cultural Attache</t>
  </si>
  <si>
    <t xml:space="preserve">fatima.moreau@hungary.embassy.example</t>
  </si>
  <si>
    <t xml:space="preserve">Note verbale sent</t>
  </si>
  <si>
    <t xml:space="preserve">EMB-017</t>
  </si>
  <si>
    <t xml:space="preserve">Greece</t>
  </si>
  <si>
    <t xml:space="preserve">Omar Alvarez</t>
  </si>
  <si>
    <t xml:space="preserve">omar.alvarez@greece.embassy.example</t>
  </si>
  <si>
    <t xml:space="preserve">+91 11 2668 8281</t>
  </si>
  <si>
    <t xml:space="preserve">Ireland</t>
  </si>
  <si>
    <t xml:space="preserve">Fatima Novak</t>
  </si>
  <si>
    <t xml:space="preserve">fatima.novak@ireland.embassy.example</t>
  </si>
  <si>
    <t xml:space="preserve">+91 11 6324 4845</t>
  </si>
  <si>
    <t xml:space="preserve">Draft proposal shared</t>
  </si>
  <si>
    <t xml:space="preserve">EMB-019</t>
  </si>
  <si>
    <t xml:space="preserve">United Kingdom</t>
  </si>
  <si>
    <t xml:space="preserve">Amara Rossi</t>
  </si>
  <si>
    <t xml:space="preserve">amara.rossi@unitedkingdo.embassy.example</t>
  </si>
  <si>
    <t xml:space="preserve">+91 91543 82993</t>
  </si>
  <si>
    <t xml:space="preserve">Russia</t>
  </si>
  <si>
    <t xml:space="preserve">carla.alvarez@russia.embassy.example</t>
  </si>
  <si>
    <t xml:space="preserve">+91 11 2174 4325</t>
  </si>
  <si>
    <t xml:space="preserve">EMB-021</t>
  </si>
  <si>
    <t xml:space="preserve">Japan</t>
  </si>
  <si>
    <t xml:space="preserve">Omar Larsen</t>
  </si>
  <si>
    <t xml:space="preserve">omar.larsen@japan.embassy.example</t>
  </si>
  <si>
    <t xml:space="preserve">+91 11 6264 5154</t>
  </si>
  <si>
    <t xml:space="preserve">EMB-022</t>
  </si>
  <si>
    <t xml:space="preserve">South Korea</t>
  </si>
  <si>
    <t xml:space="preserve">Sofia Silva</t>
  </si>
  <si>
    <t xml:space="preserve">sofia.silva@southkorea.embassy.example</t>
  </si>
  <si>
    <t xml:space="preserve">+91 97883 65506</t>
  </si>
  <si>
    <t xml:space="preserve">Embassy declined further participation</t>
  </si>
  <si>
    <t xml:space="preserve">EMB-023</t>
  </si>
  <si>
    <t xml:space="preserve">China</t>
  </si>
  <si>
    <t xml:space="preserve">fatima.moreau@china.embassy.example</t>
  </si>
  <si>
    <t xml:space="preserve">+91 11 3784 9518</t>
  </si>
  <si>
    <t xml:space="preserve">Active collaboration</t>
  </si>
  <si>
    <t xml:space="preserve">Indonesia</t>
  </si>
  <si>
    <t xml:space="preserve">Andrei Tanaka</t>
  </si>
  <si>
    <t xml:space="preserve">andrei.tanaka@indonesia.embassy.example</t>
  </si>
  <si>
    <t xml:space="preserve">+91 11 7837 5555</t>
  </si>
  <si>
    <t xml:space="preserve">EMB-025</t>
  </si>
  <si>
    <t xml:space="preserve">Malaysia</t>
  </si>
  <si>
    <t xml:space="preserve">Nadia Tanaka</t>
  </si>
  <si>
    <t xml:space="preserve">nadia.tanaka@malaysia.embassy.example</t>
  </si>
  <si>
    <t xml:space="preserve">+91 91884 79</t>
  </si>
  <si>
    <t xml:space="preserve">EMB-026</t>
  </si>
  <si>
    <t xml:space="preserve">Singapore</t>
  </si>
  <si>
    <t xml:space="preserve">Omar Rossi</t>
  </si>
  <si>
    <t xml:space="preserve">omar.rossi@singapore.embassy.example</t>
  </si>
  <si>
    <t xml:space="preserve">+91 11 3688 2834</t>
  </si>
  <si>
    <t xml:space="preserve">Declined - policy restrictions</t>
  </si>
  <si>
    <t xml:space="preserve">EMB-027</t>
  </si>
  <si>
    <t xml:space="preserve">Thailand</t>
  </si>
  <si>
    <t xml:space="preserve">Diego Alvarez</t>
  </si>
  <si>
    <t xml:space="preserve">diego.alvarez@thailand.embassy.example</t>
  </si>
  <si>
    <t xml:space="preserve">+91 11 7044 2248</t>
  </si>
  <si>
    <t xml:space="preserve">Co-hosted event in Q2</t>
  </si>
  <si>
    <t xml:space="preserve">EMB-028</t>
  </si>
  <si>
    <t xml:space="preserve">Vietnam</t>
  </si>
  <si>
    <t xml:space="preserve">Diego Garcia</t>
  </si>
  <si>
    <t xml:space="preserve">diego.garcia@vietnam.embassy.example</t>
  </si>
  <si>
    <t xml:space="preserve">+91 11 4280 7001</t>
  </si>
  <si>
    <t xml:space="preserve">EMB-029</t>
  </si>
  <si>
    <t xml:space="preserve">Philippines</t>
  </si>
  <si>
    <t xml:space="preserve">Elena Mensah</t>
  </si>
  <si>
    <t xml:space="preserve">elena.mensah@philippines.embassy.example</t>
  </si>
  <si>
    <t xml:space="preserve">+91 11 8166 3233</t>
  </si>
  <si>
    <t xml:space="preserve">EMB-030</t>
  </si>
  <si>
    <t xml:space="preserve">Australia</t>
  </si>
  <si>
    <t xml:space="preserve">Pavel Petrov</t>
  </si>
  <si>
    <t xml:space="preserve">pavel.petrov@australia.embassy.example</t>
  </si>
  <si>
    <t xml:space="preserve">+91 11 2592 1236</t>
  </si>
  <si>
    <t xml:space="preserve">Embassy leadership change</t>
  </si>
  <si>
    <t xml:space="preserve">EMB-031</t>
  </si>
  <si>
    <t xml:space="preserve">New Zealand</t>
  </si>
  <si>
    <t xml:space="preserve">Kwame Yilmaz</t>
  </si>
  <si>
    <t xml:space="preserve">kwame.yilmaz@newzealand.embassy.example</t>
  </si>
  <si>
    <t xml:space="preserve">+91 11 7908 5417</t>
  </si>
  <si>
    <t xml:space="preserve">Venue finalised</t>
  </si>
  <si>
    <t xml:space="preserve">EMB-032</t>
  </si>
  <si>
    <t xml:space="preserve">Mongolia</t>
  </si>
  <si>
    <t xml:space="preserve">Elena Larsen</t>
  </si>
  <si>
    <t xml:space="preserve">elena.larsen@mongolia.embassy.example</t>
  </si>
  <si>
    <t xml:space="preserve">+91 92016 12840</t>
  </si>
  <si>
    <t xml:space="preserve">Exploring joint programme</t>
  </si>
  <si>
    <t xml:space="preserve">EMB-033</t>
  </si>
  <si>
    <t xml:space="preserve">Myanmar</t>
  </si>
  <si>
    <t xml:space="preserve">Stefan Mensah</t>
  </si>
  <si>
    <t xml:space="preserve">stefan.mensah@myanmar</t>
  </si>
  <si>
    <t xml:space="preserve">+91 11 8197 9678</t>
  </si>
  <si>
    <t xml:space="preserve">EMB-034</t>
  </si>
  <si>
    <t xml:space="preserve">Cambodia</t>
  </si>
  <si>
    <t xml:space="preserve">Mei Silva</t>
  </si>
  <si>
    <t xml:space="preserve">mei.silva@cambodia.embassy.example</t>
  </si>
  <si>
    <t xml:space="preserve">+91 11 8391 8276</t>
  </si>
  <si>
    <t xml:space="preserve">EMB-035</t>
  </si>
  <si>
    <t xml:space="preserve">United Arab Emirates</t>
  </si>
  <si>
    <t xml:space="preserve">Leila Nguyen</t>
  </si>
  <si>
    <t xml:space="preserve">leila.nguyen@unitedarabem.embassy.example</t>
  </si>
  <si>
    <t xml:space="preserve">+91 11 5805 7803</t>
  </si>
  <si>
    <t xml:space="preserve">EMB-036</t>
  </si>
  <si>
    <t xml:space="preserve">Saudi Arabia</t>
  </si>
  <si>
    <t xml:space="preserve">Nadia Nguyen</t>
  </si>
  <si>
    <t xml:space="preserve">nadia.nguyen@saudiarabia.embassy.example</t>
  </si>
  <si>
    <t xml:space="preserve">+91 11 8085 3867</t>
  </si>
  <si>
    <t xml:space="preserve">EMB-037</t>
  </si>
  <si>
    <t xml:space="preserve">Qatar</t>
  </si>
  <si>
    <t xml:space="preserve">Carla Haddad</t>
  </si>
  <si>
    <t xml:space="preserve">carla.haddad@qatar.embassy.example</t>
  </si>
  <si>
    <t xml:space="preserve">+91 11 2298 3725</t>
  </si>
  <si>
    <t xml:space="preserve">EMB-038</t>
  </si>
  <si>
    <t xml:space="preserve">Kuwait</t>
  </si>
  <si>
    <t xml:space="preserve">Yuki Zhang</t>
  </si>
  <si>
    <t xml:space="preserve">yuki.zhang@kuwait.embassy.example</t>
  </si>
  <si>
    <t xml:space="preserve">+91 99992 48005</t>
  </si>
  <si>
    <t xml:space="preserve">EMB-039</t>
  </si>
  <si>
    <t xml:space="preserve">Oman</t>
  </si>
  <si>
    <t xml:space="preserve">amara.rossi@oman.embassy.example</t>
  </si>
  <si>
    <t xml:space="preserve">+91 11 2135 7164</t>
  </si>
  <si>
    <t xml:space="preserve">EMB-040</t>
  </si>
  <si>
    <t xml:space="preserve">Bahrain</t>
  </si>
  <si>
    <t xml:space="preserve">yuki.zhang@bahrain.embassy.example</t>
  </si>
  <si>
    <t xml:space="preserve">+91 95213 62958</t>
  </si>
  <si>
    <t xml:space="preserve">EMB-041</t>
  </si>
  <si>
    <t xml:space="preserve">Iran</t>
  </si>
  <si>
    <t xml:space="preserve">diego.alvarez@iran.embassy.example</t>
  </si>
  <si>
    <t xml:space="preserve">+91 11 5709 4098</t>
  </si>
  <si>
    <t xml:space="preserve">Iraq</t>
  </si>
  <si>
    <t xml:space="preserve">Stefan Okafor</t>
  </si>
  <si>
    <t xml:space="preserve">stefan.okafor@iraq.embassy.example</t>
  </si>
  <si>
    <t xml:space="preserve">+91 93896 50133</t>
  </si>
  <si>
    <t xml:space="preserve">EMB-043</t>
  </si>
  <si>
    <t xml:space="preserve">Israel</t>
  </si>
  <si>
    <t xml:space="preserve">Aisha Garcia</t>
  </si>
  <si>
    <t xml:space="preserve">aisha.garcia@israel.embassy.example</t>
  </si>
  <si>
    <t xml:space="preserve">+91 11 4011 5276</t>
  </si>
  <si>
    <t xml:space="preserve">EMB-044</t>
  </si>
  <si>
    <t xml:space="preserve">Jordan</t>
  </si>
  <si>
    <t xml:space="preserve">Andrei Larsen</t>
  </si>
  <si>
    <t xml:space="preserve">andrei.larsen@jordan.embassy.example</t>
  </si>
  <si>
    <t xml:space="preserve">+911177617</t>
  </si>
  <si>
    <t xml:space="preserve">Not a fit at this time</t>
  </si>
  <si>
    <t xml:space="preserve">EMB-045</t>
  </si>
  <si>
    <t xml:space="preserve">Egypt</t>
  </si>
  <si>
    <t xml:space="preserve">Fatima Garcia</t>
  </si>
  <si>
    <t xml:space="preserve">fatima.garcia@egypt.embassy.example</t>
  </si>
  <si>
    <t xml:space="preserve">+91 93516 19945</t>
  </si>
  <si>
    <t xml:space="preserve">EMB-046</t>
  </si>
  <si>
    <t xml:space="preserve">Morocco</t>
  </si>
  <si>
    <t xml:space="preserve">Pavel Alvarez</t>
  </si>
  <si>
    <t xml:space="preserve">pavel.alvarez@morocco.embassy.example</t>
  </si>
  <si>
    <t xml:space="preserve">+91 11 4844 4193</t>
  </si>
  <si>
    <t xml:space="preserve">EMB-047</t>
  </si>
  <si>
    <t xml:space="preserve">Algeria</t>
  </si>
  <si>
    <t xml:space="preserve">carla.alvarez@algeria.embassy.example</t>
  </si>
  <si>
    <t xml:space="preserve">+91 11 5505 6547</t>
  </si>
  <si>
    <t xml:space="preserve">Joint working group formed</t>
  </si>
  <si>
    <t xml:space="preserve">EMB-048</t>
  </si>
  <si>
    <t xml:space="preserve">Turkey</t>
  </si>
  <si>
    <t xml:space="preserve">Omar Petrov</t>
  </si>
  <si>
    <t xml:space="preserve">+91 11 3205 9871</t>
  </si>
  <si>
    <t xml:space="preserve">Introductory email sent</t>
  </si>
  <si>
    <t xml:space="preserve">EMB-049</t>
  </si>
  <si>
    <t xml:space="preserve">South Africa</t>
  </si>
  <si>
    <t xml:space="preserve">Pavel Rossi</t>
  </si>
  <si>
    <t xml:space="preserve">pavel.rossi.southafrica.embassy.example</t>
  </si>
  <si>
    <t xml:space="preserve">+91 94658 73064</t>
  </si>
  <si>
    <t xml:space="preserve">Nigeria</t>
  </si>
  <si>
    <t xml:space="preserve">Andrei Petrov</t>
  </si>
  <si>
    <t xml:space="preserve">andrei.petrov@nigeria.embassy.example</t>
  </si>
  <si>
    <t xml:space="preserve">+91 11 7789 2352</t>
  </si>
  <si>
    <t xml:space="preserve">EMB-051</t>
  </si>
  <si>
    <t xml:space="preserve">Kenya</t>
  </si>
  <si>
    <t xml:space="preserve">Joao Nguyen</t>
  </si>
  <si>
    <t xml:space="preserve">joao.nguyen@kenya.embassy.example</t>
  </si>
  <si>
    <t xml:space="preserve">+91 11 6137 8522</t>
  </si>
  <si>
    <t xml:space="preserve">Ethiopia</t>
  </si>
  <si>
    <t xml:space="preserve">Yuki Khalil</t>
  </si>
  <si>
    <t xml:space="preserve">yuki.khalil@ethiopia.embassy.example</t>
  </si>
  <si>
    <t xml:space="preserve">Ghana</t>
  </si>
  <si>
    <t xml:space="preserve">Omar Novak</t>
  </si>
  <si>
    <t xml:space="preserve">omar.novak@ghana.embassy.example</t>
  </si>
  <si>
    <t xml:space="preserve">+91 11 7617 5442</t>
  </si>
  <si>
    <t xml:space="preserve">EMB-054</t>
  </si>
  <si>
    <t xml:space="preserve">Tanzania</t>
  </si>
  <si>
    <t xml:space="preserve">Sofia Nguyen</t>
  </si>
  <si>
    <t xml:space="preserve">sofia.nguyen@tanzania.embassy.example</t>
  </si>
  <si>
    <t xml:space="preserve">+91 93059 77605</t>
  </si>
  <si>
    <t xml:space="preserve">EMB-055</t>
  </si>
  <si>
    <t xml:space="preserve">Uganda</t>
  </si>
  <si>
    <t xml:space="preserve">Tariq Sato</t>
  </si>
  <si>
    <t xml:space="preserve">tariq.sato@uganda.embassy.example</t>
  </si>
  <si>
    <t xml:space="preserve">+91 11 7514 1363</t>
  </si>
  <si>
    <t xml:space="preserve">EMB-056</t>
  </si>
  <si>
    <t xml:space="preserve">Zambia</t>
  </si>
  <si>
    <t xml:space="preserve">Ingrid Novak</t>
  </si>
  <si>
    <t xml:space="preserve">ingrid.novak@zambia.embassy.example</t>
  </si>
  <si>
    <t xml:space="preserve">+91 94668 63166</t>
  </si>
  <si>
    <t xml:space="preserve">Zimbabwe</t>
  </si>
  <si>
    <t xml:space="preserve">Chen Novak</t>
  </si>
  <si>
    <t xml:space="preserve">+91 97704 41047</t>
  </si>
  <si>
    <t xml:space="preserve">EMB-058</t>
  </si>
  <si>
    <t xml:space="preserve">Mozambique</t>
  </si>
  <si>
    <t xml:space="preserve">Chen Khalil</t>
  </si>
  <si>
    <t xml:space="preserve">chen.khalil@mozambique.embassy.example</t>
  </si>
  <si>
    <t xml:space="preserve">+91 94042 94747</t>
  </si>
  <si>
    <t xml:space="preserve">EMB-059</t>
  </si>
  <si>
    <t xml:space="preserve">Angola</t>
  </si>
  <si>
    <t xml:space="preserve">Elena Tanaka</t>
  </si>
  <si>
    <t xml:space="preserve">elena.tanaka@angola.embassy.example</t>
  </si>
  <si>
    <t xml:space="preserve">EMB-060</t>
  </si>
  <si>
    <t xml:space="preserve">Senegal</t>
  </si>
  <si>
    <t xml:space="preserve">Stefan Larsen</t>
  </si>
  <si>
    <t xml:space="preserve">+91 11 3057 0304</t>
  </si>
  <si>
    <t xml:space="preserve">EMB-061</t>
  </si>
  <si>
    <t xml:space="preserve">Rwanda</t>
  </si>
  <si>
    <t xml:space="preserve">Marco Tanaka</t>
  </si>
  <si>
    <t xml:space="preserve">marco.tanaka@rwanda.embassy.example</t>
  </si>
  <si>
    <t xml:space="preserve">+91 90300 42637</t>
  </si>
  <si>
    <t xml:space="preserve">EMB-062</t>
  </si>
  <si>
    <t xml:space="preserve">Mauritius</t>
  </si>
  <si>
    <t xml:space="preserve">Tariq Rossi</t>
  </si>
  <si>
    <t xml:space="preserve">tariq.rossi@mauritius.embassy.example</t>
  </si>
  <si>
    <t xml:space="preserve">+91 97929 92398</t>
  </si>
  <si>
    <t xml:space="preserve">EMB-063</t>
  </si>
  <si>
    <t xml:space="preserve">United States</t>
  </si>
  <si>
    <t xml:space="preserve">Aisha Novak</t>
  </si>
  <si>
    <t xml:space="preserve">aisha.novak.unitedstates.embassy.example</t>
  </si>
  <si>
    <t xml:space="preserve">EMB-064</t>
  </si>
  <si>
    <t xml:space="preserve">Canada</t>
  </si>
  <si>
    <t xml:space="preserve">diego.mensah@canada</t>
  </si>
  <si>
    <t xml:space="preserve">+91 11 3662 8290</t>
  </si>
  <si>
    <t xml:space="preserve">EMB-065</t>
  </si>
  <si>
    <t xml:space="preserve">Mexico</t>
  </si>
  <si>
    <t xml:space="preserve">Elena Costa</t>
  </si>
  <si>
    <t xml:space="preserve">elena.costa@mexico.embassy.example</t>
  </si>
  <si>
    <t xml:space="preserve">+91 95060 18</t>
  </si>
  <si>
    <t xml:space="preserve">EMB-066</t>
  </si>
  <si>
    <t xml:space="preserve">Brazil</t>
  </si>
  <si>
    <t xml:space="preserve">Amara Kim</t>
  </si>
  <si>
    <t xml:space="preserve">amara.kim.brazil.embassy.example</t>
  </si>
  <si>
    <t xml:space="preserve">+91 11 8276 0821</t>
  </si>
  <si>
    <t xml:space="preserve">EMB-067</t>
  </si>
  <si>
    <t xml:space="preserve">Argentina</t>
  </si>
  <si>
    <t xml:space="preserve">Sofia Petrov</t>
  </si>
  <si>
    <t xml:space="preserve">sofia.petrov.argentina.embassy.example</t>
  </si>
  <si>
    <t xml:space="preserve">+91 11 3746 5501</t>
  </si>
  <si>
    <t xml:space="preserve">EMB-068</t>
  </si>
  <si>
    <t xml:space="preserve">Chile</t>
  </si>
  <si>
    <t xml:space="preserve">Kwame Haddad</t>
  </si>
  <si>
    <t xml:space="preserve">kwame.haddad@chile.embassy.example</t>
  </si>
  <si>
    <t xml:space="preserve">+91 11 6509 8680</t>
  </si>
  <si>
    <t xml:space="preserve">EMB-069</t>
  </si>
  <si>
    <t xml:space="preserve">Colombia</t>
  </si>
  <si>
    <t xml:space="preserve">Aisha Haddad</t>
  </si>
  <si>
    <t xml:space="preserve">+91 11 3941 8341</t>
  </si>
  <si>
    <t xml:space="preserve">Peru</t>
  </si>
  <si>
    <t xml:space="preserve">Mei Costa</t>
  </si>
  <si>
    <t xml:space="preserve">mei.costa@peru.embassy.example</t>
  </si>
  <si>
    <t xml:space="preserve">+91 93787 76040</t>
  </si>
  <si>
    <t xml:space="preserve">EMB-071</t>
  </si>
  <si>
    <t xml:space="preserve">Cuba</t>
  </si>
  <si>
    <t xml:space="preserve">amara.kim@cuba.embassy.example</t>
  </si>
  <si>
    <t xml:space="preserve">+91 11 7766 0471</t>
  </si>
  <si>
    <t xml:space="preserve">EMB-072</t>
  </si>
  <si>
    <t xml:space="preserve">Venezuela</t>
  </si>
  <si>
    <t xml:space="preserve">Omar Schmidt</t>
  </si>
  <si>
    <t xml:space="preserve">omar.schmidt@venezuela.embassy.example</t>
  </si>
  <si>
    <t xml:space="preserve">+91 11 8926 8771</t>
  </si>
  <si>
    <t xml:space="preserve">EMB-073</t>
  </si>
  <si>
    <t xml:space="preserve">Ecuador</t>
  </si>
  <si>
    <t xml:space="preserve">Diego Rossi</t>
  </si>
  <si>
    <t xml:space="preserve">diego.rossi@ecuador.embassy.example</t>
  </si>
  <si>
    <t xml:space="preserve">+91 11 5896 5164</t>
  </si>
  <si>
    <t xml:space="preserve">EMB-074</t>
  </si>
  <si>
    <t xml:space="preserve">Guyana</t>
  </si>
  <si>
    <t xml:space="preserve">elena.rossi@guyana.embassy.example</t>
  </si>
  <si>
    <t xml:space="preserve">EMB-075</t>
  </si>
  <si>
    <t xml:space="preserve">Panama</t>
  </si>
  <si>
    <t xml:space="preserve">Hiroshi Hassan</t>
  </si>
  <si>
    <t xml:space="preserve">hiroshi.hassan@panama.embassy.example</t>
  </si>
  <si>
    <t xml:space="preserve">+91 96929 84427</t>
  </si>
  <si>
    <t xml:space="preserve">EMB-076</t>
  </si>
  <si>
    <t xml:space="preserve">Uruguay</t>
  </si>
  <si>
    <t xml:space="preserve">Pavel Larsen</t>
  </si>
  <si>
    <t xml:space="preserve">pavel.larsen@uruguay.embassy.example</t>
  </si>
  <si>
    <t xml:space="preserve">EMB-077</t>
  </si>
  <si>
    <t xml:space="preserve">Bangladesh</t>
  </si>
  <si>
    <t xml:space="preserve">Carla Hassan</t>
  </si>
  <si>
    <t xml:space="preserve">carla.hassan@bangladesh.embassy.example</t>
  </si>
  <si>
    <t xml:space="preserve">EMB-078</t>
  </si>
  <si>
    <t xml:space="preserve">Sri Lanka</t>
  </si>
  <si>
    <t xml:space="preserve">Fatima Kim</t>
  </si>
  <si>
    <t xml:space="preserve">fatima.kim@srilanka.embassy.example</t>
  </si>
  <si>
    <t xml:space="preserve">+91 11 7029 5292</t>
  </si>
  <si>
    <t xml:space="preserve">EMB-079</t>
  </si>
  <si>
    <t xml:space="preserve">Nepal</t>
  </si>
  <si>
    <t xml:space="preserve">Sofia Rossi</t>
  </si>
  <si>
    <t xml:space="preserve">+91 91145 94609</t>
  </si>
  <si>
    <t xml:space="preserve">EMB-080</t>
  </si>
  <si>
    <t xml:space="preserve">Bhutan</t>
  </si>
  <si>
    <t xml:space="preserve">Kwame Garcia</t>
  </si>
  <si>
    <t xml:space="preserve">kwame.garcia@bhutan.embassy.example</t>
  </si>
  <si>
    <t xml:space="preserve">+91 11 8083 7819</t>
  </si>
  <si>
    <t xml:space="preserve">Maldives</t>
  </si>
  <si>
    <t xml:space="preserve">Pavel Costa</t>
  </si>
  <si>
    <t xml:space="preserve">+91 11 7210 2549</t>
  </si>
  <si>
    <t xml:space="preserve">EMB-082</t>
  </si>
  <si>
    <t xml:space="preserve">Kazakhstan</t>
  </si>
  <si>
    <t xml:space="preserve">Amara Alvarez</t>
  </si>
  <si>
    <t xml:space="preserve">amara.alvarez@kazakhstan.embassy.example</t>
  </si>
  <si>
    <t xml:space="preserve">+91 99516 85424</t>
  </si>
  <si>
    <t xml:space="preserve">EMB-083</t>
  </si>
  <si>
    <t xml:space="preserve">Uzbekistan</t>
  </si>
  <si>
    <t xml:space="preserve">Andrei Haddad</t>
  </si>
  <si>
    <t xml:space="preserve">andrei.haddad@uzbekistan.embassy.example</t>
  </si>
  <si>
    <t xml:space="preserve">+91 96340 56135</t>
  </si>
  <si>
    <t xml:space="preserve">EMB-084</t>
  </si>
  <si>
    <t xml:space="preserve">Afghanistan</t>
  </si>
  <si>
    <t xml:space="preserve">Fatima Zhang</t>
  </si>
  <si>
    <t xml:space="preserve">fatima.zhang@afghanistan.embassy.example</t>
  </si>
  <si>
    <t xml:space="preserve">Contact_Person</t>
  </si>
  <si>
    <t xml:space="preserve">First_Contact_Date</t>
  </si>
  <si>
    <t xml:space="preserve">Source extract exactly as received (not modified). Dates stored as text appear left-aligned.</t>
  </si>
  <si>
    <t xml:space="preserve">france</t>
  </si>
  <si>
    <t xml:space="preserve"> Germany</t>
  </si>
  <si>
    <t xml:space="preserve">+911181707536</t>
  </si>
  <si>
    <t xml:space="preserve">Initial Contact Made</t>
  </si>
  <si>
    <t xml:space="preserve">not started </t>
  </si>
  <si>
    <t xml:space="preserve">2025-08-22</t>
  </si>
  <si>
    <t xml:space="preserve">Czechia</t>
  </si>
  <si>
    <t xml:space="preserve">europe</t>
  </si>
  <si>
    <t xml:space="preserve">UK</t>
  </si>
  <si>
    <t xml:space="preserve">Russian Federation</t>
  </si>
  <si>
    <t xml:space="preserve">Japan </t>
  </si>
  <si>
    <t xml:space="preserve">Korea (South)</t>
  </si>
  <si>
    <t xml:space="preserve">  Nadia Tanaka </t>
  </si>
  <si>
    <t xml:space="preserve">On hold</t>
  </si>
  <si>
    <t xml:space="preserve">in discussion</t>
  </si>
  <si>
    <t xml:space="preserve">14/09/2026</t>
  </si>
  <si>
    <t xml:space="preserve">UAE</t>
  </si>
  <si>
    <t xml:space="preserve">Hold</t>
  </si>
  <si>
    <t xml:space="preserve">MENA</t>
  </si>
  <si>
    <t xml:space="preserve">engaged</t>
  </si>
  <si>
    <t xml:space="preserve">1157094098</t>
  </si>
  <si>
    <t xml:space="preserve">2026-05-27</t>
  </si>
  <si>
    <t xml:space="preserve">+91-9351619945</t>
  </si>
  <si>
    <t xml:space="preserve">Sub Saharan Africa</t>
  </si>
  <si>
    <t xml:space="preserve">2025-02-15</t>
  </si>
  <si>
    <t xml:space="preserve">+911176175442</t>
  </si>
  <si>
    <t xml:space="preserve">meeting scheduled</t>
  </si>
  <si>
    <t xml:space="preserve">  Chen Khalil </t>
  </si>
  <si>
    <t xml:space="preserve">USA</t>
  </si>
  <si>
    <t xml:space="preserve">N. America</t>
  </si>
  <si>
    <t xml:space="preserve">  Diego Mensah </t>
  </si>
  <si>
    <t xml:space="preserve">  Amara Kim </t>
  </si>
  <si>
    <t xml:space="preserve">closed</t>
  </si>
  <si>
    <t xml:space="preserve">+91-9378776040</t>
  </si>
  <si>
    <t xml:space="preserve">24/07/2026</t>
  </si>
  <si>
    <t xml:space="preserve">02/07/2025</t>
  </si>
  <si>
    <t xml:space="preserve">  Amara Alvarez </t>
  </si>
  <si>
    <t xml:space="preserve">16/09/2026</t>
  </si>
  <si>
    <t xml:space="preserve">+91-9634056135</t>
  </si>
  <si>
    <t xml:space="preserve">EMB-094</t>
  </si>
  <si>
    <t xml:space="preserve">Mexico </t>
  </si>
  <si>
    <t xml:space="preserve">Pedro Nguyen</t>
  </si>
  <si>
    <t xml:space="preserve">Duplicate entry? contact updated</t>
  </si>
  <si>
    <t xml:space="preserve">EMB-095</t>
  </si>
  <si>
    <t xml:space="preserve">Tariq Kim</t>
  </si>
  <si>
    <t xml:space="preserve">EMB-096</t>
  </si>
  <si>
    <t xml:space="preserve">GHANA</t>
  </si>
  <si>
    <t xml:space="preserve">Aisha Zhang</t>
  </si>
  <si>
    <t xml:space="preserve">Raw Row</t>
  </si>
  <si>
    <t xml:space="preserve">Country not in master list</t>
  </si>
  <si>
    <t xml:space="preserve">Region non-standard</t>
  </si>
  <si>
    <t xml:space="preserve">Status non-standard</t>
  </si>
  <si>
    <t xml:space="preserve">Email invalid</t>
  </si>
  <si>
    <t xml:space="preserve">Phone format non-standard</t>
  </si>
  <si>
    <t xml:space="preserve">Owner missing</t>
  </si>
  <si>
    <t xml:space="preserve">Engagement missing (contacted)</t>
  </si>
  <si>
    <t xml:space="preserve">Date stored as text</t>
  </si>
  <si>
    <t xml:space="preserve">Interactions missing</t>
  </si>
  <si>
    <t xml:space="preserve">Interactions negative</t>
  </si>
  <si>
    <t xml:space="preserve">Extra spaces in name fields</t>
  </si>
  <si>
    <t xml:space="preserve">Duplicate Embassy_ID</t>
  </si>
  <si>
    <t xml:space="preserve">'Not Started' but has activity</t>
  </si>
  <si>
    <t xml:space="preserve">Last contact missing (contacted)</t>
  </si>
  <si>
    <t xml:space="preserve">Region conflicts with country</t>
  </si>
  <si>
    <t xml:space="preserve">Any issue (1/0)</t>
  </si>
  <si>
    <t xml:space="preserve">Total flagged</t>
  </si>
  <si>
    <t xml:space="preserve">Row-level validation of Raw_Data (1 = issue found). Feeds the 'Data Quality Review' sheet. Row n here = row n+1 on Raw_Data.</t>
  </si>
  <si>
    <t xml:space="preserve">Standard Status</t>
  </si>
  <si>
    <t xml:space="preserve">Standard Region</t>
  </si>
  <si>
    <t xml:space="preserve">Master Country</t>
  </si>
  <si>
    <t xml:space="preserve">Reference lists used by the Data Quality checks (exact-match validation of Status, Region and Country spellings).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</si>
</sst>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General"/>
    <numFmt numFmtId="167" formatCode="0%"/>
    <numFmt numFmtId="168" formatCode="0.0"/>
    <numFmt numFmtId="169" formatCode="dd\-mmm\-yy"/>
    <numFmt numFmtId="170" formatCode="dd\-mmm\-yyyy"/>
    <numFmt numFmtId="171" formatCode="0.0%"/>
    <numFmt numFmtId="172" formatCode="mmm\-yy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6"/>
      <color rgb="FF1F3864"/>
      <name val="Arial"/>
      <family val="0"/>
      <charset val="1"/>
    </font>
    <font>
      <b val="true"/>
      <sz val="26"/>
      <color rgb="FF2E75B6"/>
      <name val="Arial"/>
      <family val="0"/>
      <charset val="1"/>
    </font>
    <font>
      <b val="true"/>
      <sz val="26"/>
      <color rgb="FF548235"/>
      <name val="Arial"/>
      <family val="0"/>
      <charset val="1"/>
    </font>
    <font>
      <b val="true"/>
      <sz val="26"/>
      <color rgb="FF7F6000"/>
      <name val="Arial"/>
      <family val="0"/>
      <charset val="1"/>
    </font>
    <font>
      <b val="true"/>
      <sz val="26"/>
      <color rgb="FFC00000"/>
      <name val="Arial"/>
      <family val="0"/>
      <charset val="1"/>
    </font>
    <font>
      <b val="true"/>
      <sz val="26"/>
      <color rgb="FFED7D3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595959"/>
      </patternFill>
    </fill>
    <fill>
      <patternFill patternType="solid">
        <fgColor rgb="FF7F6000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F99"/>
      </patternFill>
    </fill>
    <fill>
      <patternFill patternType="solid">
        <fgColor rgb="FFE2EFDA"/>
        <bgColor rgb="FFEAF1FB"/>
      </patternFill>
    </fill>
    <fill>
      <patternFill patternType="solid">
        <fgColor rgb="FFFFFF99"/>
        <bgColor rgb="FFFFE6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5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1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7F6000"/>
      <rgbColor rgb="FF800080"/>
      <rgbColor rgb="FF4F81BD"/>
      <rgbColor rgb="FFBFBFBF"/>
      <rgbColor rgb="FF7F7F7F"/>
      <rgbColor rgb="FFA6A6A6"/>
      <rgbColor rgb="FF993366"/>
      <rgbColor rgb="FFF2F2F2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Embassies by outreach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Analysis!B8</c:f>
              <c:strCache>
                <c:ptCount val="1"/>
                <c:pt idx="0">
                  <c:v>Embassies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Analysis!$A$9:$A$15</c:f>
              <c:strCache>
                <c:ptCount val="7"/>
                <c:pt idx="0">
                  <c:v>Not Started</c:v>
                </c:pt>
                <c:pt idx="1">
                  <c:v>Initial Contact</c:v>
                </c:pt>
                <c:pt idx="2">
                  <c:v>In Discussion</c:v>
                </c:pt>
                <c:pt idx="3">
                  <c:v>Meeting Scheduled</c:v>
                </c:pt>
                <c:pt idx="4">
                  <c:v>Engaged</c:v>
                </c:pt>
                <c:pt idx="5">
                  <c:v>On Hold</c:v>
                </c:pt>
                <c:pt idx="6">
                  <c:v>Closed</c:v>
                </c:pt>
              </c:strCache>
            </c:strRef>
          </c:cat>
          <c:val>
            <c:numRef>
              <c:f>Analysis!$B$9:$B$15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14</c:v>
                </c:pt>
                <c:pt idx="3">
                  <c:v>11</c:v>
                </c:pt>
                <c:pt idx="4">
                  <c:v>19</c:v>
                </c:pt>
                <c:pt idx="5">
                  <c:v>11</c:v>
                </c:pt>
                <c:pt idx="6">
                  <c:v>4</c:v>
                </c:pt>
              </c:numCache>
            </c:numRef>
          </c:val>
        </c:ser>
        <c:gapWidth val="150"/>
        <c:overlap val="0"/>
        <c:axId val="47023791"/>
        <c:axId val="28391351"/>
      </c:barChart>
      <c:catAx>
        <c:axId val="4702379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91351"/>
        <c:crosses val="autoZero"/>
        <c:auto val="1"/>
        <c:lblAlgn val="ctr"/>
        <c:lblOffset val="100"/>
        <c:noMultiLvlLbl val="0"/>
      </c:catAx>
      <c:valAx>
        <c:axId val="28391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237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Engagement level (all embassies)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Analysis!B19</c:f>
              <c:strCache>
                <c:ptCount val="1"/>
                <c:pt idx="0">
                  <c:v>Embassies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3"/>
            <c:spPr>
              <a:solidFill>
                <a:srgbClr val="a6a6a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Analysis!$A$20:$A$23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Not rated</c:v>
                </c:pt>
              </c:strCache>
            </c:strRef>
          </c:cat>
          <c:val>
            <c:numRef>
              <c:f>Analysis!$B$20:$B$23</c:f>
              <c:numCache>
                <c:formatCode>General</c:formatCode>
                <c:ptCount val="4"/>
                <c:pt idx="0">
                  <c:v>17</c:v>
                </c:pt>
                <c:pt idx="1">
                  <c:v>22</c:v>
                </c:pt>
                <c:pt idx="2">
                  <c:v>25</c:v>
                </c:pt>
                <c:pt idx="3">
                  <c:v>20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Regional stage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"Not Started"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a6a6a6"/>
            </a:solidFill>
            <a:ln w="0">
              <a:solidFill>
                <a:srgbClr val="a6a6a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Analysis!$A$28:$A$33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Middle East &amp; North Africa</c:v>
                </c:pt>
                <c:pt idx="3">
                  <c:v>Sub-Saharan Africa</c:v>
                </c:pt>
                <c:pt idx="4">
                  <c:v>Americas</c:v>
                </c:pt>
                <c:pt idx="5">
                  <c:v>South &amp; Central Asia</c:v>
                </c:pt>
              </c:strCache>
            </c:strRef>
          </c:cat>
          <c:val>
            <c:numRef>
              <c:f>Analysis!$C$28:$C$33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"Early / Active"</c:f>
              <c:strCache>
                <c:ptCount val="1"/>
                <c:pt idx="0">
                  <c:v>Early / Active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Analysis!$A$28:$A$33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Middle East &amp; North Africa</c:v>
                </c:pt>
                <c:pt idx="3">
                  <c:v>Sub-Saharan Africa</c:v>
                </c:pt>
                <c:pt idx="4">
                  <c:v>Americas</c:v>
                </c:pt>
                <c:pt idx="5">
                  <c:v>South &amp; Central Asia</c:v>
                </c:pt>
              </c:strCache>
            </c:strRef>
          </c:cat>
          <c:val>
            <c:numRef>
              <c:f>Analysis!$Q$28:$Q$33</c:f>
              <c:numCache>
                <c:formatCode>General</c:formatCode>
                <c:ptCount val="6"/>
                <c:pt idx="0">
                  <c:v>10</c:v>
                </c:pt>
                <c:pt idx="1">
                  <c:v>8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</c:ser>
        <c:ser>
          <c:idx val="2"/>
          <c:order val="2"/>
          <c:tx>
            <c:strRef>
              <c:f>"Engaged"</c:f>
              <c:strCache>
                <c:ptCount val="1"/>
                <c:pt idx="0">
                  <c:v>Engaged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Analysis!$A$28:$A$33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Middle East &amp; North Africa</c:v>
                </c:pt>
                <c:pt idx="3">
                  <c:v>Sub-Saharan Africa</c:v>
                </c:pt>
                <c:pt idx="4">
                  <c:v>Americas</c:v>
                </c:pt>
                <c:pt idx="5">
                  <c:v>South &amp; Central Asia</c:v>
                </c:pt>
              </c:strCache>
            </c:strRef>
          </c:cat>
          <c:val>
            <c:numRef>
              <c:f>Analysis!$G$28:$G$33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ser>
          <c:idx val="3"/>
          <c:order val="3"/>
          <c:tx>
            <c:strRef>
              <c:f>"On Hold / Closed"</c:f>
              <c:strCache>
                <c:ptCount val="1"/>
                <c:pt idx="0">
                  <c:v>On Hold / Closed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Analysis!$A$28:$A$33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Middle East &amp; North Africa</c:v>
                </c:pt>
                <c:pt idx="3">
                  <c:v>Sub-Saharan Africa</c:v>
                </c:pt>
                <c:pt idx="4">
                  <c:v>Americas</c:v>
                </c:pt>
                <c:pt idx="5">
                  <c:v>South &amp; Central Asia</c:v>
                </c:pt>
              </c:strCache>
            </c:strRef>
          </c:cat>
          <c:val>
            <c:numRef>
              <c:f>Analysis!$R$28:$R$33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150"/>
        <c:overlap val="100"/>
        <c:axId val="9867819"/>
        <c:axId val="56145960"/>
      </c:barChart>
      <c:catAx>
        <c:axId val="98678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45960"/>
        <c:crosses val="autoZero"/>
        <c:auto val="1"/>
        <c:lblAlgn val="ctr"/>
        <c:lblOffset val="100"/>
        <c:noMultiLvlLbl val="0"/>
      </c:catAx>
      <c:valAx>
        <c:axId val="56145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78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Outreach momentum - embassies by month of last contact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Analysis!B60</c:f>
              <c:strCache>
                <c:ptCount val="1"/>
                <c:pt idx="0">
                  <c:v>Embassies last contacted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Analysis!$C$61:$C$72</c:f>
              <c:strCache>
                <c:ptCount val="12"/>
                <c:pt idx="0">
                  <c:v>Nov-25</c:v>
                </c:pt>
                <c:pt idx="1">
                  <c:v>Dec-25</c:v>
                </c:pt>
                <c:pt idx="2">
                  <c:v>Jan-26</c:v>
                </c:pt>
                <c:pt idx="3">
                  <c:v>Feb-26</c:v>
                </c:pt>
                <c:pt idx="4">
                  <c:v>Mar-26</c:v>
                </c:pt>
                <c:pt idx="5">
                  <c:v>Apr-26</c:v>
                </c:pt>
                <c:pt idx="6">
                  <c:v>May-26</c:v>
                </c:pt>
                <c:pt idx="7">
                  <c:v>Jun-26</c:v>
                </c:pt>
                <c:pt idx="8">
                  <c:v>Jul-26</c:v>
                </c:pt>
                <c:pt idx="9">
                  <c:v>Aug-26</c:v>
                </c:pt>
                <c:pt idx="10">
                  <c:v>Sep-26</c:v>
                </c:pt>
                <c:pt idx="11">
                  <c:v>Oct-26</c:v>
                </c:pt>
              </c:strCache>
            </c:strRef>
          </c:cat>
          <c:val>
            <c:numRef>
              <c:f>Analysis!$B$61:$B$72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0</c:v>
                </c:pt>
                <c:pt idx="6">
                  <c:v>4</c:v>
                </c:pt>
                <c:pt idx="7">
                  <c:v>3</c:v>
                </c:pt>
                <c:pt idx="8">
                  <c:v>11</c:v>
                </c:pt>
                <c:pt idx="9">
                  <c:v>11</c:v>
                </c:pt>
                <c:pt idx="10">
                  <c:v>26</c:v>
                </c:pt>
                <c:pt idx="11">
                  <c:v>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266622"/>
        <c:axId val="90205729"/>
      </c:lineChart>
      <c:catAx>
        <c:axId val="802666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05729"/>
        <c:crosses val="autoZero"/>
        <c:auto val="1"/>
        <c:lblAlgn val="ctr"/>
        <c:lblOffset val="100"/>
        <c:noMultiLvlLbl val="0"/>
      </c:catAx>
      <c:valAx>
        <c:axId val="902057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666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Owner workload and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"Live pipeline"</c:f>
              <c:strCache>
                <c:ptCount val="1"/>
                <c:pt idx="0">
                  <c:v>Live pipeline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Analysis!$A$39:$A$45</c:f>
              <c:strCache>
                <c:ptCount val="7"/>
                <c:pt idx="0">
                  <c:v>Anita Deshmukh</c:v>
                </c:pt>
                <c:pt idx="1">
                  <c:v>Rahul Verma</c:v>
                </c:pt>
                <c:pt idx="2">
                  <c:v>Priya Nair</c:v>
                </c:pt>
                <c:pt idx="3">
                  <c:v>Sameer Khan</c:v>
                </c:pt>
                <c:pt idx="4">
                  <c:v>Neha Kulkarni</c:v>
                </c:pt>
                <c:pt idx="5">
                  <c:v>Arjun Mehta</c:v>
                </c:pt>
                <c:pt idx="6">
                  <c:v>Unassigned</c:v>
                </c:pt>
              </c:strCache>
            </c:strRef>
          </c:cat>
          <c:val>
            <c:numRef>
              <c:f>Analysis!$C$39:$C$45</c:f>
              <c:numCache>
                <c:formatCode>General</c:formatCode>
                <c:ptCount val="7"/>
                <c:pt idx="0">
                  <c:v>5</c:v>
                </c:pt>
                <c:pt idx="1">
                  <c:v>9</c:v>
                </c:pt>
                <c:pt idx="2">
                  <c:v>11</c:v>
                </c:pt>
                <c:pt idx="3">
                  <c:v>11</c:v>
                </c:pt>
                <c:pt idx="4">
                  <c:v>9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</c:ser>
        <c:ser>
          <c:idx val="1"/>
          <c:order val="1"/>
          <c:tx>
            <c:strRef>
              <c:f>"Overdue"</c:f>
              <c:strCache>
                <c:ptCount val="1"/>
                <c:pt idx="0">
                  <c:v>Overdue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Analysis!$A$39:$A$45</c:f>
              <c:strCache>
                <c:ptCount val="7"/>
                <c:pt idx="0">
                  <c:v>Anita Deshmukh</c:v>
                </c:pt>
                <c:pt idx="1">
                  <c:v>Rahul Verma</c:v>
                </c:pt>
                <c:pt idx="2">
                  <c:v>Priya Nair</c:v>
                </c:pt>
                <c:pt idx="3">
                  <c:v>Sameer Khan</c:v>
                </c:pt>
                <c:pt idx="4">
                  <c:v>Neha Kulkarni</c:v>
                </c:pt>
                <c:pt idx="5">
                  <c:v>Arjun Mehta</c:v>
                </c:pt>
                <c:pt idx="6">
                  <c:v>Unassigned</c:v>
                </c:pt>
              </c:strCache>
            </c:strRef>
          </c:cat>
          <c:val>
            <c:numRef>
              <c:f>Analysis!$D$39:$D$45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</c:ser>
        <c:ser>
          <c:idx val="2"/>
          <c:order val="2"/>
          <c:tx>
            <c:strRef>
              <c:f>"Stale"</c:f>
              <c:strCache>
                <c:ptCount val="1"/>
                <c:pt idx="0">
                  <c:v>Stale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Analysis!$A$39:$A$45</c:f>
              <c:strCache>
                <c:ptCount val="7"/>
                <c:pt idx="0">
                  <c:v>Anita Deshmukh</c:v>
                </c:pt>
                <c:pt idx="1">
                  <c:v>Rahul Verma</c:v>
                </c:pt>
                <c:pt idx="2">
                  <c:v>Priya Nair</c:v>
                </c:pt>
                <c:pt idx="3">
                  <c:v>Sameer Khan</c:v>
                </c:pt>
                <c:pt idx="4">
                  <c:v>Neha Kulkarni</c:v>
                </c:pt>
                <c:pt idx="5">
                  <c:v>Arjun Mehta</c:v>
                </c:pt>
                <c:pt idx="6">
                  <c:v>Unassigned</c:v>
                </c:pt>
              </c:strCache>
            </c:strRef>
          </c:cat>
          <c:val>
            <c:numRef>
              <c:f>Analysis!$E$39:$E$45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90909077"/>
        <c:axId val="73848386"/>
      </c:barChart>
      <c:catAx>
        <c:axId val="909090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48386"/>
        <c:crosses val="autoZero"/>
        <c:auto val="1"/>
        <c:lblAlgn val="ctr"/>
        <c:lblOffset val="100"/>
        <c:noMultiLvlLbl val="0"/>
      </c:catAx>
      <c:valAx>
        <c:axId val="7384838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090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Outreach channel used (contacted embassies)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Analysis!B50</c:f>
              <c:strCache>
                <c:ptCount val="1"/>
                <c:pt idx="0">
                  <c:v>Embassies</c:v>
                </c:pt>
              </c:strCache>
            </c:strRef>
          </c:tx>
          <c:spPr>
            <a:solidFill>
              <a:srgbClr val="7f7f7f"/>
            </a:solidFill>
            <a:ln w="0">
              <a:solidFill>
                <a:srgbClr val="7f7f7f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Analysis!$A$51:$A$56</c:f>
              <c:strCache>
                <c:ptCount val="6"/>
                <c:pt idx="0">
                  <c:v>Email</c:v>
                </c:pt>
                <c:pt idx="1">
                  <c:v>Phone</c:v>
                </c:pt>
                <c:pt idx="2">
                  <c:v>Meeting</c:v>
                </c:pt>
                <c:pt idx="3">
                  <c:v>Event</c:v>
                </c:pt>
                <c:pt idx="4">
                  <c:v>Official Letter</c:v>
                </c:pt>
                <c:pt idx="5">
                  <c:v>Not recorded</c:v>
                </c:pt>
              </c:strCache>
            </c:strRef>
          </c:cat>
          <c:val>
            <c:numRef>
              <c:f>Analysis!$B$51:$B$56</c:f>
              <c:numCache>
                <c:formatCode>General</c:formatCode>
                <c:ptCount val="6"/>
                <c:pt idx="0">
                  <c:v>24</c:v>
                </c:pt>
                <c:pt idx="1">
                  <c:v>13</c:v>
                </c:pt>
                <c:pt idx="2">
                  <c:v>14</c:v>
                </c:pt>
                <c:pt idx="3">
                  <c:v>11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23821414"/>
        <c:axId val="62145314"/>
      </c:barChart>
      <c:catAx>
        <c:axId val="238214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45314"/>
        <c:crosses val="autoZero"/>
        <c:auto val="1"/>
        <c:lblAlgn val="ctr"/>
        <c:lblOffset val="100"/>
        <c:noMultiLvlLbl val="0"/>
      </c:catAx>
      <c:valAx>
        <c:axId val="6214531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214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9</xdr:col>
      <xdr:colOff>328320</xdr:colOff>
      <xdr:row>28</xdr:row>
      <xdr:rowOff>187200</xdr:rowOff>
    </xdr:to>
    <xdr:graphicFrame>
      <xdr:nvGraphicFramePr>
        <xdr:cNvPr id="0" name="Chart 1"/>
        <xdr:cNvGraphicFramePr/>
      </xdr:nvGraphicFramePr>
      <xdr:xfrm>
        <a:off x="141120" y="3933720"/>
        <a:ext cx="568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15</xdr:row>
      <xdr:rowOff>0</xdr:rowOff>
    </xdr:from>
    <xdr:to>
      <xdr:col>18</xdr:col>
      <xdr:colOff>328320</xdr:colOff>
      <xdr:row>28</xdr:row>
      <xdr:rowOff>187200</xdr:rowOff>
    </xdr:to>
    <xdr:graphicFrame>
      <xdr:nvGraphicFramePr>
        <xdr:cNvPr id="1" name="Chart 2"/>
        <xdr:cNvGraphicFramePr/>
      </xdr:nvGraphicFramePr>
      <xdr:xfrm>
        <a:off x="6170400" y="3933720"/>
        <a:ext cx="568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9</xdr:col>
      <xdr:colOff>328320</xdr:colOff>
      <xdr:row>46</xdr:row>
      <xdr:rowOff>68400</xdr:rowOff>
    </xdr:to>
    <xdr:graphicFrame>
      <xdr:nvGraphicFramePr>
        <xdr:cNvPr id="2" name="Chart 3"/>
        <xdr:cNvGraphicFramePr/>
      </xdr:nvGraphicFramePr>
      <xdr:xfrm>
        <a:off x="141120" y="725796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32</xdr:row>
      <xdr:rowOff>0</xdr:rowOff>
    </xdr:from>
    <xdr:to>
      <xdr:col>18</xdr:col>
      <xdr:colOff>328320</xdr:colOff>
      <xdr:row>46</xdr:row>
      <xdr:rowOff>68400</xdr:rowOff>
    </xdr:to>
    <xdr:graphicFrame>
      <xdr:nvGraphicFramePr>
        <xdr:cNvPr id="3" name="Chart 4"/>
        <xdr:cNvGraphicFramePr/>
      </xdr:nvGraphicFramePr>
      <xdr:xfrm>
        <a:off x="6170400" y="725796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9</xdr:col>
      <xdr:colOff>328320</xdr:colOff>
      <xdr:row>62</xdr:row>
      <xdr:rowOff>68760</xdr:rowOff>
    </xdr:to>
    <xdr:graphicFrame>
      <xdr:nvGraphicFramePr>
        <xdr:cNvPr id="4" name="Chart 5"/>
        <xdr:cNvGraphicFramePr/>
      </xdr:nvGraphicFramePr>
      <xdr:xfrm>
        <a:off x="141120" y="1030608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48</xdr:row>
      <xdr:rowOff>0</xdr:rowOff>
    </xdr:from>
    <xdr:to>
      <xdr:col>18</xdr:col>
      <xdr:colOff>328320</xdr:colOff>
      <xdr:row>62</xdr:row>
      <xdr:rowOff>68760</xdr:rowOff>
    </xdr:to>
    <xdr:graphicFrame>
      <xdr:nvGraphicFramePr>
        <xdr:cNvPr id="5" name="Chart 6"/>
        <xdr:cNvGraphicFramePr/>
      </xdr:nvGraphicFramePr>
      <xdr:xfrm>
        <a:off x="6170400" y="10306080"/>
        <a:ext cx="568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T9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9.51"/>
    <col collapsed="false" customWidth="true" hidden="true" outlineLevel="0" max="20" min="20" style="0" width="2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1.7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false" customHeight="false" outlineLevel="0" collapsed="false">
      <c r="B3" s="2" t="str">
        <f aca="false">"Status as at "&amp;TEXT(Analysis!B3,"dd mmm yyyy")&amp;"  |  Source: cleaned Embassy Outreach Database ("&amp;COUNTA(Clean_Data!A2:A500)&amp;" embassies)  |  Illustrative sample data"</f>
        <v>Status as at 05 Oct 2026  |  Source: cleaned Embassy Outreach Database (84 embassies)  |  Illustrative sample data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18" hidden="false" customHeight="true" outlineLevel="0" collapsed="false">
      <c r="B5" s="3" t="s">
        <v>1</v>
      </c>
      <c r="C5" s="3"/>
      <c r="D5" s="3"/>
      <c r="E5" s="4" t="s">
        <v>2</v>
      </c>
      <c r="F5" s="4"/>
      <c r="G5" s="4"/>
      <c r="H5" s="5" t="s">
        <v>3</v>
      </c>
      <c r="I5" s="5"/>
      <c r="J5" s="5"/>
      <c r="K5" s="6" t="s">
        <v>4</v>
      </c>
      <c r="L5" s="6"/>
      <c r="M5" s="6"/>
      <c r="N5" s="7" t="s">
        <v>5</v>
      </c>
      <c r="O5" s="7"/>
      <c r="P5" s="7"/>
      <c r="Q5" s="8" t="s">
        <v>6</v>
      </c>
      <c r="R5" s="8"/>
      <c r="S5" s="8"/>
    </row>
    <row r="6" customFormat="false" ht="39.75" hidden="false" customHeight="true" outlineLevel="0" collapsed="false">
      <c r="B6" s="9" t="n">
        <f aca="false">COUNTA(Clean_Data!$A$2:$A$500)</f>
        <v>84</v>
      </c>
      <c r="C6" s="9"/>
      <c r="D6" s="9"/>
      <c r="E6" s="10" t="n">
        <f aca="false">COUNTA(Clean_Data!$A$2:$A$500)-Analysis!B9</f>
        <v>74</v>
      </c>
      <c r="F6" s="10"/>
      <c r="G6" s="10"/>
      <c r="H6" s="11" t="n">
        <f aca="false">Analysis!B13</f>
        <v>19</v>
      </c>
      <c r="I6" s="11"/>
      <c r="J6" s="11"/>
      <c r="K6" s="12" t="n">
        <f aca="false">SUM(Clean_Data!Q2:Q500)</f>
        <v>59</v>
      </c>
      <c r="L6" s="12"/>
      <c r="M6" s="12"/>
      <c r="N6" s="13" t="n">
        <f aca="false">SUM(Clean_Data!S2:S500)</f>
        <v>30</v>
      </c>
      <c r="O6" s="13"/>
      <c r="P6" s="13"/>
      <c r="Q6" s="14" t="n">
        <f aca="false">SUM(Clean_Data!T2:T500)</f>
        <v>13</v>
      </c>
      <c r="R6" s="14"/>
      <c r="S6" s="14"/>
    </row>
    <row r="7" customFormat="false" ht="18" hidden="false" customHeight="true" outlineLevel="0" collapsed="false">
      <c r="B7" s="15" t="str">
        <f aca="false">"across "&amp;COUNTA(Lists!C2:C7)&amp;" regions"</f>
        <v>across 6 regions</v>
      </c>
      <c r="C7" s="15"/>
      <c r="D7" s="15"/>
      <c r="E7" s="15" t="str">
        <f aca="false">TEXT(IF(B6=0,0,E6/B6),"0%")&amp;" of all embassies"</f>
        <v>88% of all embassies</v>
      </c>
      <c r="F7" s="15"/>
      <c r="G7" s="15"/>
      <c r="H7" s="15" t="str">
        <f aca="false">TEXT(IF(E6=0,0,H6/E6),"0%")&amp;" of contacted"</f>
        <v>26% of contacted</v>
      </c>
      <c r="I7" s="15"/>
      <c r="J7" s="15"/>
      <c r="K7" s="15" t="str">
        <f aca="false">"initial, discussion, meeting, engaged"</f>
        <v>initial, discussion, meeting, engaged</v>
      </c>
      <c r="L7" s="15"/>
      <c r="M7" s="15"/>
      <c r="N7" s="15" t="str">
        <f aca="false">TEXT(IF(K6=0,0,N6/K6),"0%")&amp;" of live pipeline"</f>
        <v>51% of live pipeline</v>
      </c>
      <c r="O7" s="15"/>
      <c r="P7" s="15"/>
      <c r="Q7" s="15" t="str">
        <f aca="false">"live, no contact "&amp;Analysis!B4&amp;"+ days"</f>
        <v>live, no contact 90+ days</v>
      </c>
      <c r="R7" s="15"/>
      <c r="S7" s="15"/>
    </row>
    <row r="9" customFormat="false" ht="21.75" hidden="false" customHeight="true" outlineLevel="0" collapsed="false">
      <c r="B9" s="16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customFormat="false" ht="21.75" hidden="false" customHeight="true" outlineLevel="0" collapsed="false">
      <c r="B10" s="17" t="str">
        <f aca="false">"Reach: "&amp;E6&amp;" of "&amp;B6&amp;" embassies ("&amp;TEXT(E6/B6,"0%")&amp;") have been contacted; "&amp;H6&amp;" are fully engaged ("&amp;TEXT(H6/B6,"0%")&amp;" of all embassies) and "&amp;Analysis!B9&amp;" have not been approached yet."</f>
        <v>Reach: 74 of 84 embassies (88%) have been contacted; 19 are fully engaged (23% of all embassies) and 10 have not been approached yet.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customFormat="false" ht="21.75" hidden="false" customHeight="true" outlineLevel="0" collapsed="false">
      <c r="B11" s="17" t="str">
        <f aca="false">"Regions: highest engagement rate is "&amp;INDEX(Analysis!$A$28:$A$33,MATCH(MAX(Analysis!$J$28:$J$33),Analysis!$J$28:$J$33,0))&amp;" ("&amp;TEXT(MAX(Analysis!$J$28:$J$33),"0%")&amp;"); lowest is "&amp;INDEX(Analysis!$A$28:$A$33,MATCH(MIN(Analysis!$J$28:$J$33),Analysis!$J$28:$J$33,0))&amp;" ("&amp;TEXT(MIN(Analysis!$J$28:$J$33),"0%")&amp;"). Overall: "&amp;TEXT(Analysis!J34,"0%")&amp;"."</f>
        <v>Regions: highest engagement rate is Sub-Saharan Africa (36%); lowest is South &amp; Central Asia (13%). Overall: 23%.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customFormat="false" ht="21.75" hidden="false" customHeight="true" outlineLevel="0" collapsed="false">
      <c r="B12" s="17" t="str">
        <f aca="false">"Follow-up discipline: "&amp;N6&amp;" of "&amp;K6&amp;" live embassies ("&amp;TEXT(IF(K6=0,0,N6/K6),"0%")&amp;") have an overdue follow-up and "&amp;Q6&amp;" have had no contact for "&amp;Analysis!B4&amp;"+ days - these need action first (see priority list)."</f>
        <v>Follow-up discipline: 30 of 59 live embassies (51%) have an overdue follow-up and 13 have had no contact for 90+ days - these need action first (see priority list).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customFormat="false" ht="21.75" hidden="false" customHeight="true" outlineLevel="0" collapsed="false">
      <c r="B13" s="17" t="str">
        <f aca="false">"Ownership &amp; data: "&amp;Analysis!B45&amp;" embassies have no assigned owner; "&amp;TEXT('Data Quality Review'!E5,"0%")&amp;" of raw records were free of data-quality issues - see the Data Quality Review sheet."</f>
        <v>Ownership &amp; data: 8 embassies have no assigned owner; 21% of raw records were free of data-quality issues - see the Data Quality Review sheet.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5" customFormat="false" ht="21.75" hidden="false" customHeight="true" outlineLevel="0" collapsed="false">
      <c r="B15" s="16" t="s">
        <v>8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32" customFormat="false" ht="21.75" hidden="false" customHeight="true" outlineLevel="0" collapsed="false">
      <c r="B32" s="16" t="s">
        <v>9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66" customFormat="false" ht="21.75" hidden="false" customHeight="true" outlineLevel="0" collapsed="false">
      <c r="B66" s="16" t="s">
        <v>10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customFormat="false" ht="33.75" hidden="false" customHeight="true" outlineLevel="0" collapsed="false">
      <c r="B67" s="18" t="s">
        <v>11</v>
      </c>
      <c r="C67" s="18"/>
      <c r="D67" s="18"/>
      <c r="E67" s="18"/>
      <c r="F67" s="18" t="s">
        <v>12</v>
      </c>
      <c r="G67" s="18" t="s">
        <v>13</v>
      </c>
      <c r="H67" s="18" t="s">
        <v>14</v>
      </c>
      <c r="I67" s="18" t="s">
        <v>15</v>
      </c>
      <c r="J67" s="18" t="s">
        <v>16</v>
      </c>
      <c r="K67" s="18" t="s">
        <v>17</v>
      </c>
      <c r="L67" s="18" t="s">
        <v>18</v>
      </c>
      <c r="M67" s="18" t="s">
        <v>19</v>
      </c>
      <c r="N67" s="18" t="s">
        <v>20</v>
      </c>
      <c r="O67" s="18" t="s">
        <v>21</v>
      </c>
      <c r="P67" s="18" t="s">
        <v>22</v>
      </c>
      <c r="Q67" s="18"/>
      <c r="R67" s="18"/>
      <c r="S67" s="18"/>
    </row>
    <row r="68" customFormat="false" ht="19.5" hidden="false" customHeight="true" outlineLevel="0" collapsed="false">
      <c r="B68" s="19" t="str">
        <f aca="false">Analysis!A28</f>
        <v>Europe</v>
      </c>
      <c r="C68" s="19"/>
      <c r="D68" s="19"/>
      <c r="E68" s="19"/>
      <c r="F68" s="20" t="n">
        <f aca="false">Analysis!B28</f>
        <v>20</v>
      </c>
      <c r="G68" s="20" t="n">
        <f aca="false">Analysis!P28</f>
        <v>16</v>
      </c>
      <c r="H68" s="20" t="n">
        <f aca="false">Analysis!G28</f>
        <v>3</v>
      </c>
      <c r="I68" s="21" t="n">
        <f aca="false">Analysis!J28</f>
        <v>0.15</v>
      </c>
      <c r="J68" s="20" t="n">
        <f aca="false">Analysis!K28</f>
        <v>3</v>
      </c>
      <c r="K68" s="22" t="n">
        <f aca="false">Analysis!L28</f>
        <v>6.21428571428571</v>
      </c>
      <c r="L68" s="20" t="n">
        <f aca="false">Analysis!M28</f>
        <v>6</v>
      </c>
      <c r="M68" s="20" t="n">
        <f aca="false">Analysis!N28</f>
        <v>4</v>
      </c>
      <c r="N68" s="20" t="n">
        <f aca="false">Analysis!O28</f>
        <v>1</v>
      </c>
      <c r="O68" s="20" t="n">
        <f aca="false">Analysis!C28</f>
        <v>4</v>
      </c>
      <c r="P68" s="23" t="str">
        <f aca="false">IF(I68&lt;$I$74,"Below average engagement",IF(L68+M68&gt;=3,"Engaged but needs follow-up","On track"))</f>
        <v>Below average engagement</v>
      </c>
      <c r="Q68" s="23"/>
      <c r="R68" s="23"/>
      <c r="S68" s="23"/>
    </row>
    <row r="69" customFormat="false" ht="19.5" hidden="false" customHeight="true" outlineLevel="0" collapsed="false">
      <c r="B69" s="19" t="str">
        <f aca="false">Analysis!A29</f>
        <v>Asia-Pacific</v>
      </c>
      <c r="C69" s="19"/>
      <c r="D69" s="19"/>
      <c r="E69" s="19"/>
      <c r="F69" s="20" t="n">
        <f aca="false">Analysis!B29</f>
        <v>14</v>
      </c>
      <c r="G69" s="20" t="n">
        <f aca="false">Analysis!P29</f>
        <v>13</v>
      </c>
      <c r="H69" s="20" t="n">
        <f aca="false">Analysis!G29</f>
        <v>3</v>
      </c>
      <c r="I69" s="21" t="n">
        <f aca="false">Analysis!J29</f>
        <v>0.214285714285714</v>
      </c>
      <c r="J69" s="20" t="n">
        <f aca="false">Analysis!K29</f>
        <v>2</v>
      </c>
      <c r="K69" s="22" t="n">
        <f aca="false">Analysis!L29</f>
        <v>5.07692307692308</v>
      </c>
      <c r="L69" s="20" t="n">
        <f aca="false">Analysis!M29</f>
        <v>7</v>
      </c>
      <c r="M69" s="20" t="n">
        <f aca="false">Analysis!N29</f>
        <v>1</v>
      </c>
      <c r="N69" s="20" t="n">
        <f aca="false">Analysis!O29</f>
        <v>2</v>
      </c>
      <c r="O69" s="20" t="n">
        <f aca="false">Analysis!C29</f>
        <v>1</v>
      </c>
      <c r="P69" s="23" t="str">
        <f aca="false">IF(I69&lt;$I$74,"Below average engagement",IF(L69+M69&gt;=3,"Engaged but needs follow-up","On track"))</f>
        <v>Below average engagement</v>
      </c>
      <c r="Q69" s="23"/>
      <c r="R69" s="23"/>
      <c r="S69" s="23"/>
    </row>
    <row r="70" customFormat="false" ht="19.5" hidden="false" customHeight="true" outlineLevel="0" collapsed="false">
      <c r="B70" s="19" t="str">
        <f aca="false">Analysis!A30</f>
        <v>Middle East &amp; North Africa</v>
      </c>
      <c r="C70" s="19"/>
      <c r="D70" s="19"/>
      <c r="E70" s="19"/>
      <c r="F70" s="20" t="n">
        <f aca="false">Analysis!B30</f>
        <v>14</v>
      </c>
      <c r="G70" s="20" t="n">
        <f aca="false">Analysis!P30</f>
        <v>14</v>
      </c>
      <c r="H70" s="20" t="n">
        <f aca="false">Analysis!G30</f>
        <v>4</v>
      </c>
      <c r="I70" s="21" t="n">
        <f aca="false">Analysis!J30</f>
        <v>0.285714285714286</v>
      </c>
      <c r="J70" s="20" t="n">
        <f aca="false">Analysis!K30</f>
        <v>5</v>
      </c>
      <c r="K70" s="22" t="n">
        <f aca="false">Analysis!L30</f>
        <v>6.23076923076923</v>
      </c>
      <c r="L70" s="20" t="n">
        <f aca="false">Analysis!M30</f>
        <v>2</v>
      </c>
      <c r="M70" s="20" t="n">
        <f aca="false">Analysis!N30</f>
        <v>1</v>
      </c>
      <c r="N70" s="20" t="n">
        <f aca="false">Analysis!O30</f>
        <v>1</v>
      </c>
      <c r="O70" s="20" t="n">
        <f aca="false">Analysis!C30</f>
        <v>0</v>
      </c>
      <c r="P70" s="23" t="str">
        <f aca="false">IF(I70&lt;$I$74,"Below average engagement",IF(L70+M70&gt;=3,"Engaged but needs follow-up","On track"))</f>
        <v>Engaged but needs follow-up</v>
      </c>
      <c r="Q70" s="23"/>
      <c r="R70" s="23"/>
      <c r="S70" s="23"/>
    </row>
    <row r="71" customFormat="false" ht="19.5" hidden="false" customHeight="true" outlineLevel="0" collapsed="false">
      <c r="B71" s="19" t="str">
        <f aca="false">Analysis!A31</f>
        <v>Sub-Saharan Africa</v>
      </c>
      <c r="C71" s="19"/>
      <c r="D71" s="19"/>
      <c r="E71" s="19"/>
      <c r="F71" s="20" t="n">
        <f aca="false">Analysis!B31</f>
        <v>14</v>
      </c>
      <c r="G71" s="20" t="n">
        <f aca="false">Analysis!P31</f>
        <v>12</v>
      </c>
      <c r="H71" s="20" t="n">
        <f aca="false">Analysis!G31</f>
        <v>5</v>
      </c>
      <c r="I71" s="21" t="n">
        <f aca="false">Analysis!J31</f>
        <v>0.357142857142857</v>
      </c>
      <c r="J71" s="20" t="n">
        <f aca="false">Analysis!K31</f>
        <v>5</v>
      </c>
      <c r="K71" s="22" t="n">
        <f aca="false">Analysis!L31</f>
        <v>7.09090909090909</v>
      </c>
      <c r="L71" s="20" t="n">
        <f aca="false">Analysis!M31</f>
        <v>7</v>
      </c>
      <c r="M71" s="20" t="n">
        <f aca="false">Analysis!N31</f>
        <v>4</v>
      </c>
      <c r="N71" s="20" t="n">
        <f aca="false">Analysis!O31</f>
        <v>2</v>
      </c>
      <c r="O71" s="20" t="n">
        <f aca="false">Analysis!C31</f>
        <v>2</v>
      </c>
      <c r="P71" s="23" t="str">
        <f aca="false">IF(I71&lt;$I$74,"Below average engagement",IF(L71+M71&gt;=3,"Engaged but needs follow-up","On track"))</f>
        <v>Engaged but needs follow-up</v>
      </c>
      <c r="Q71" s="23"/>
      <c r="R71" s="23"/>
      <c r="S71" s="23"/>
    </row>
    <row r="72" customFormat="false" ht="19.5" hidden="false" customHeight="true" outlineLevel="0" collapsed="false">
      <c r="B72" s="19" t="str">
        <f aca="false">Analysis!A32</f>
        <v>Americas</v>
      </c>
      <c r="C72" s="19"/>
      <c r="D72" s="19"/>
      <c r="E72" s="19"/>
      <c r="F72" s="20" t="n">
        <f aca="false">Analysis!B32</f>
        <v>14</v>
      </c>
      <c r="G72" s="20" t="n">
        <f aca="false">Analysis!P32</f>
        <v>12</v>
      </c>
      <c r="H72" s="20" t="n">
        <f aca="false">Analysis!G32</f>
        <v>3</v>
      </c>
      <c r="I72" s="21" t="n">
        <f aca="false">Analysis!J32</f>
        <v>0.214285714285714</v>
      </c>
      <c r="J72" s="20" t="n">
        <f aca="false">Analysis!K32</f>
        <v>1</v>
      </c>
      <c r="K72" s="22" t="n">
        <f aca="false">Analysis!L32</f>
        <v>5.27272727272727</v>
      </c>
      <c r="L72" s="20" t="n">
        <f aca="false">Analysis!M32</f>
        <v>4</v>
      </c>
      <c r="M72" s="20" t="n">
        <f aca="false">Analysis!N32</f>
        <v>1</v>
      </c>
      <c r="N72" s="20" t="n">
        <f aca="false">Analysis!O32</f>
        <v>2</v>
      </c>
      <c r="O72" s="20" t="n">
        <f aca="false">Analysis!C32</f>
        <v>2</v>
      </c>
      <c r="P72" s="23" t="str">
        <f aca="false">IF(I72&lt;$I$74,"Below average engagement",IF(L72+M72&gt;=3,"Engaged but needs follow-up","On track"))</f>
        <v>Below average engagement</v>
      </c>
      <c r="Q72" s="23"/>
      <c r="R72" s="23"/>
      <c r="S72" s="23"/>
    </row>
    <row r="73" customFormat="false" ht="19.5" hidden="false" customHeight="true" outlineLevel="0" collapsed="false">
      <c r="B73" s="19" t="str">
        <f aca="false">Analysis!A33</f>
        <v>South &amp; Central Asia</v>
      </c>
      <c r="C73" s="19"/>
      <c r="D73" s="19"/>
      <c r="E73" s="19"/>
      <c r="F73" s="20" t="n">
        <f aca="false">Analysis!B33</f>
        <v>8</v>
      </c>
      <c r="G73" s="20" t="n">
        <f aca="false">Analysis!P33</f>
        <v>7</v>
      </c>
      <c r="H73" s="20" t="n">
        <f aca="false">Analysis!G33</f>
        <v>1</v>
      </c>
      <c r="I73" s="21" t="n">
        <f aca="false">Analysis!J33</f>
        <v>0.125</v>
      </c>
      <c r="J73" s="20" t="n">
        <f aca="false">Analysis!K33</f>
        <v>1</v>
      </c>
      <c r="K73" s="22" t="n">
        <f aca="false">Analysis!L33</f>
        <v>5</v>
      </c>
      <c r="L73" s="20" t="n">
        <f aca="false">Analysis!M33</f>
        <v>4</v>
      </c>
      <c r="M73" s="20" t="n">
        <f aca="false">Analysis!N33</f>
        <v>2</v>
      </c>
      <c r="N73" s="20" t="n">
        <f aca="false">Analysis!O33</f>
        <v>0</v>
      </c>
      <c r="O73" s="20" t="n">
        <f aca="false">Analysis!C33</f>
        <v>1</v>
      </c>
      <c r="P73" s="23" t="str">
        <f aca="false">IF(I73&lt;$I$74,"Below average engagement",IF(L73+M73&gt;=3,"Engaged but needs follow-up","On track"))</f>
        <v>Below average engagement</v>
      </c>
      <c r="Q73" s="23"/>
      <c r="R73" s="23"/>
      <c r="S73" s="23"/>
    </row>
    <row r="74" customFormat="false" ht="19.5" hidden="false" customHeight="true" outlineLevel="0" collapsed="false">
      <c r="B74" s="24" t="str">
        <f aca="false">Analysis!A34</f>
        <v>Total</v>
      </c>
      <c r="C74" s="24"/>
      <c r="D74" s="24"/>
      <c r="E74" s="24"/>
      <c r="F74" s="25" t="n">
        <f aca="false">Analysis!B34</f>
        <v>84</v>
      </c>
      <c r="G74" s="25" t="n">
        <f aca="false">Analysis!P34</f>
        <v>74</v>
      </c>
      <c r="H74" s="25" t="n">
        <f aca="false">Analysis!G34</f>
        <v>19</v>
      </c>
      <c r="I74" s="26" t="n">
        <f aca="false">Analysis!J34</f>
        <v>0.226190476190476</v>
      </c>
      <c r="J74" s="25" t="n">
        <f aca="false">Analysis!K34</f>
        <v>17</v>
      </c>
      <c r="K74" s="27" t="n">
        <f aca="false">Analysis!L34</f>
        <v>5.88235294117647</v>
      </c>
      <c r="L74" s="25" t="n">
        <f aca="false">Analysis!M34</f>
        <v>30</v>
      </c>
      <c r="M74" s="25" t="n">
        <f aca="false">Analysis!N34</f>
        <v>13</v>
      </c>
      <c r="N74" s="25" t="n">
        <f aca="false">Analysis!O34</f>
        <v>8</v>
      </c>
      <c r="O74" s="25" t="n">
        <f aca="false">Analysis!C34</f>
        <v>10</v>
      </c>
      <c r="P74" s="28" t="s">
        <v>23</v>
      </c>
      <c r="Q74" s="28"/>
      <c r="R74" s="28"/>
      <c r="S74" s="28"/>
    </row>
    <row r="76" customFormat="false" ht="21.75" hidden="false" customHeight="true" outlineLevel="0" collapsed="false">
      <c r="B76" s="16" t="s">
        <v>24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customFormat="false" ht="33.75" hidden="false" customHeight="true" outlineLevel="0" collapsed="false">
      <c r="B77" s="18" t="s">
        <v>25</v>
      </c>
      <c r="C77" s="18" t="s">
        <v>26</v>
      </c>
      <c r="D77" s="18"/>
      <c r="E77" s="18" t="s">
        <v>11</v>
      </c>
      <c r="F77" s="18"/>
      <c r="G77" s="18"/>
      <c r="H77" s="18" t="s">
        <v>27</v>
      </c>
      <c r="I77" s="18"/>
      <c r="J77" s="18" t="s">
        <v>28</v>
      </c>
      <c r="K77" s="18"/>
      <c r="L77" s="18" t="s">
        <v>29</v>
      </c>
      <c r="M77" s="18" t="s">
        <v>30</v>
      </c>
      <c r="N77" s="18" t="s">
        <v>31</v>
      </c>
      <c r="O77" s="18" t="s">
        <v>32</v>
      </c>
      <c r="P77" s="18"/>
      <c r="Q77" s="18"/>
      <c r="R77" s="18"/>
      <c r="S77" s="18"/>
    </row>
    <row r="78" customFormat="false" ht="31.5" hidden="false" customHeight="true" outlineLevel="0" collapsed="false">
      <c r="B78" s="29" t="n">
        <v>1</v>
      </c>
      <c r="C78" s="30" t="str">
        <f aca="false">IFERROR(INDEX(Clean_Data!$B$2:$B$500,MATCH($T78,Clean_Data!$A$2:$A$500,0))&amp;"","")</f>
        <v>Ghana</v>
      </c>
      <c r="D78" s="30"/>
      <c r="E78" s="30" t="str">
        <f aca="false">IFERROR(INDEX(Clean_Data!$C$2:$C$500,MATCH($T78,Clean_Data!$A$2:$A$500,0))&amp;"","")</f>
        <v>Sub-Saharan Africa</v>
      </c>
      <c r="F78" s="30"/>
      <c r="G78" s="30"/>
      <c r="H78" s="29" t="str">
        <f aca="false">IFERROR(INDEX(Clean_Data!$H$2:$H$500,MATCH($T78,Clean_Data!$A$2:$A$500,0))&amp;"","")</f>
        <v>Engaged</v>
      </c>
      <c r="I78" s="29"/>
      <c r="J78" s="30" t="str">
        <f aca="false">IFERROR(INDEX(Clean_Data!$I$2:$I$500,MATCH($T78,Clean_Data!$A$2:$A$500,0))&amp;"","")</f>
        <v>Anita Deshmukh</v>
      </c>
      <c r="K78" s="30"/>
      <c r="L78" s="29" t="str">
        <f aca="false">IFERROR(INDEX(Clean_Data!$N$2:$N$500,MATCH($T78,Clean_Data!$A$2:$A$500,0))&amp;"","")</f>
        <v>High</v>
      </c>
      <c r="M78" s="31" t="n">
        <f aca="false">IFERROR(INDEX(Clean_Data!$R$2:$R$500,MATCH($T78,Clean_Data!$A$2:$A$500,0)),"")</f>
        <v>330</v>
      </c>
      <c r="N78" s="32" t="n">
        <f aca="false">IFERROR(INDEX(Clean_Data!$L$2:$L$500,MATCH($T78,Clean_Data!$A$2:$A$500,0)),"")</f>
        <v>46290</v>
      </c>
      <c r="O78" s="30" t="str">
        <f aca="false">IFERROR(INDEX(Clean_Data!$AB$2:$AB$500,MATCH($T78,Clean_Data!$A$2:$A$500,0))&amp;"","")</f>
        <v>Follow-up overdue. No contact 90+ days. Date error (last &lt; first).</v>
      </c>
      <c r="P78" s="30"/>
      <c r="Q78" s="30"/>
      <c r="R78" s="30"/>
      <c r="S78" s="30"/>
      <c r="T78" s="33" t="s">
        <v>33</v>
      </c>
    </row>
    <row r="79" customFormat="false" ht="31.5" hidden="false" customHeight="true" outlineLevel="0" collapsed="false">
      <c r="B79" s="29" t="n">
        <v>2</v>
      </c>
      <c r="C79" s="30" t="str">
        <f aca="false">IFERROR(INDEX(Clean_Data!$B$2:$B$500,MATCH($T79,Clean_Data!$A$2:$A$500,0))&amp;"","")</f>
        <v>Ethiopia</v>
      </c>
      <c r="D79" s="30"/>
      <c r="E79" s="30" t="str">
        <f aca="false">IFERROR(INDEX(Clean_Data!$C$2:$C$500,MATCH($T79,Clean_Data!$A$2:$A$500,0))&amp;"","")</f>
        <v>Sub-Saharan Africa</v>
      </c>
      <c r="F79" s="30"/>
      <c r="G79" s="30"/>
      <c r="H79" s="29" t="str">
        <f aca="false">IFERROR(INDEX(Clean_Data!$H$2:$H$500,MATCH($T79,Clean_Data!$A$2:$A$500,0))&amp;"","")</f>
        <v>Engaged</v>
      </c>
      <c r="I79" s="29"/>
      <c r="J79" s="30" t="str">
        <f aca="false">IFERROR(INDEX(Clean_Data!$I$2:$I$500,MATCH($T79,Clean_Data!$A$2:$A$500,0))&amp;"","")</f>
        <v>Neha Kulkarni</v>
      </c>
      <c r="K79" s="30"/>
      <c r="L79" s="29" t="str">
        <f aca="false">IFERROR(INDEX(Clean_Data!$N$2:$N$500,MATCH($T79,Clean_Data!$A$2:$A$500,0))&amp;"","")</f>
        <v>High</v>
      </c>
      <c r="M79" s="31" t="n">
        <f aca="false">IFERROR(INDEX(Clean_Data!$R$2:$R$500,MATCH($T79,Clean_Data!$A$2:$A$500,0)),"")</f>
        <v>227</v>
      </c>
      <c r="N79" s="32" t="n">
        <f aca="false">IFERROR(INDEX(Clean_Data!$L$2:$L$500,MATCH($T79,Clean_Data!$A$2:$A$500,0)),"")</f>
        <v>46090</v>
      </c>
      <c r="O79" s="30" t="str">
        <f aca="false">IFERROR(INDEX(Clean_Data!$AB$2:$AB$500,MATCH($T79,Clean_Data!$A$2:$A$500,0))&amp;"","")</f>
        <v>Follow-up overdue. No contact 90+ days.</v>
      </c>
      <c r="P79" s="30"/>
      <c r="Q79" s="30"/>
      <c r="R79" s="30"/>
      <c r="S79" s="30"/>
      <c r="T79" s="33" t="s">
        <v>34</v>
      </c>
    </row>
    <row r="80" customFormat="false" ht="31.5" hidden="false" customHeight="true" outlineLevel="0" collapsed="false">
      <c r="B80" s="29" t="n">
        <v>3</v>
      </c>
      <c r="C80" s="30" t="str">
        <f aca="false">IFERROR(INDEX(Clean_Data!$B$2:$B$500,MATCH($T80,Clean_Data!$A$2:$A$500,0))&amp;"","")</f>
        <v>Russia</v>
      </c>
      <c r="D80" s="30"/>
      <c r="E80" s="30" t="str">
        <f aca="false">IFERROR(INDEX(Clean_Data!$C$2:$C$500,MATCH($T80,Clean_Data!$A$2:$A$500,0))&amp;"","")</f>
        <v>Europe</v>
      </c>
      <c r="F80" s="30"/>
      <c r="G80" s="30"/>
      <c r="H80" s="29" t="str">
        <f aca="false">IFERROR(INDEX(Clean_Data!$H$2:$H$500,MATCH($T80,Clean_Data!$A$2:$A$500,0))&amp;"","")</f>
        <v>Engaged</v>
      </c>
      <c r="I80" s="29"/>
      <c r="J80" s="30" t="str">
        <f aca="false">IFERROR(INDEX(Clean_Data!$I$2:$I$500,MATCH($T80,Clean_Data!$A$2:$A$500,0))&amp;"","")</f>
        <v>Neha Kulkarni</v>
      </c>
      <c r="K80" s="30"/>
      <c r="L80" s="29" t="str">
        <f aca="false">IFERROR(INDEX(Clean_Data!$N$2:$N$500,MATCH($T80,Clean_Data!$A$2:$A$500,0))&amp;"","")</f>
        <v>High</v>
      </c>
      <c r="M80" s="31" t="n">
        <f aca="false">IFERROR(INDEX(Clean_Data!$R$2:$R$500,MATCH($T80,Clean_Data!$A$2:$A$500,0)),"")</f>
        <v>217</v>
      </c>
      <c r="N80" s="32" t="n">
        <f aca="false">IFERROR(INDEX(Clean_Data!$L$2:$L$500,MATCH($T80,Clean_Data!$A$2:$A$500,0)),"")</f>
        <v>46122</v>
      </c>
      <c r="O80" s="30" t="str">
        <f aca="false">IFERROR(INDEX(Clean_Data!$AB$2:$AB$500,MATCH($T80,Clean_Data!$A$2:$A$500,0))&amp;"","")</f>
        <v>Follow-up overdue. No contact 90+ days.</v>
      </c>
      <c r="P80" s="30"/>
      <c r="Q80" s="30"/>
      <c r="R80" s="30"/>
      <c r="S80" s="30"/>
      <c r="T80" s="33" t="s">
        <v>35</v>
      </c>
    </row>
    <row r="81" customFormat="false" ht="31.5" hidden="false" customHeight="true" outlineLevel="0" collapsed="false">
      <c r="B81" s="29" t="n">
        <v>4</v>
      </c>
      <c r="C81" s="30" t="str">
        <f aca="false">IFERROR(INDEX(Clean_Data!$B$2:$B$500,MATCH($T81,Clean_Data!$A$2:$A$500,0))&amp;"","")</f>
        <v>Indonesia</v>
      </c>
      <c r="D81" s="30"/>
      <c r="E81" s="30" t="str">
        <f aca="false">IFERROR(INDEX(Clean_Data!$C$2:$C$500,MATCH($T81,Clean_Data!$A$2:$A$500,0))&amp;"","")</f>
        <v>Asia-Pacific</v>
      </c>
      <c r="F81" s="30"/>
      <c r="G81" s="30"/>
      <c r="H81" s="29" t="str">
        <f aca="false">IFERROR(INDEX(Clean_Data!$H$2:$H$500,MATCH($T81,Clean_Data!$A$2:$A$500,0))&amp;"","")</f>
        <v>Initial Contact</v>
      </c>
      <c r="I81" s="29"/>
      <c r="J81" s="30" t="str">
        <f aca="false">IFERROR(INDEX(Clean_Data!$I$2:$I$500,MATCH($T81,Clean_Data!$A$2:$A$500,0))&amp;"","")</f>
        <v/>
      </c>
      <c r="K81" s="30"/>
      <c r="L81" s="29" t="str">
        <f aca="false">IFERROR(INDEX(Clean_Data!$N$2:$N$500,MATCH($T81,Clean_Data!$A$2:$A$500,0))&amp;"","")</f>
        <v>Medium</v>
      </c>
      <c r="M81" s="31" t="n">
        <f aca="false">IFERROR(INDEX(Clean_Data!$R$2:$R$500,MATCH($T81,Clean_Data!$A$2:$A$500,0)),"")</f>
        <v>127</v>
      </c>
      <c r="N81" s="32" t="n">
        <f aca="false">IFERROR(INDEX(Clean_Data!$L$2:$L$500,MATCH($T81,Clean_Data!$A$2:$A$500,0)),"")</f>
        <v>46228</v>
      </c>
      <c r="O81" s="30" t="str">
        <f aca="false">IFERROR(INDEX(Clean_Data!$AB$2:$AB$500,MATCH($T81,Clean_Data!$A$2:$A$500,0))&amp;"","")</f>
        <v>Follow-up overdue. No contact 90+ days. No owner.</v>
      </c>
      <c r="P81" s="30"/>
      <c r="Q81" s="30"/>
      <c r="R81" s="30"/>
      <c r="S81" s="30"/>
      <c r="T81" s="33" t="s">
        <v>36</v>
      </c>
    </row>
    <row r="82" customFormat="false" ht="31.5" hidden="false" customHeight="true" outlineLevel="0" collapsed="false">
      <c r="B82" s="29" t="n">
        <v>5</v>
      </c>
      <c r="C82" s="30" t="str">
        <f aca="false">IFERROR(INDEX(Clean_Data!$B$2:$B$500,MATCH($T82,Clean_Data!$A$2:$A$500,0))&amp;"","")</f>
        <v>Ireland</v>
      </c>
      <c r="D82" s="30"/>
      <c r="E82" s="30" t="str">
        <f aca="false">IFERROR(INDEX(Clean_Data!$C$2:$C$500,MATCH($T82,Clean_Data!$A$2:$A$500,0))&amp;"","")</f>
        <v>Europe</v>
      </c>
      <c r="F82" s="30"/>
      <c r="G82" s="30"/>
      <c r="H82" s="29" t="str">
        <f aca="false">IFERROR(INDEX(Clean_Data!$H$2:$H$500,MATCH($T82,Clean_Data!$A$2:$A$500,0))&amp;"","")</f>
        <v>In Discussion</v>
      </c>
      <c r="I82" s="29"/>
      <c r="J82" s="30" t="str">
        <f aca="false">IFERROR(INDEX(Clean_Data!$I$2:$I$500,MATCH($T82,Clean_Data!$A$2:$A$500,0))&amp;"","")</f>
        <v>Sameer Khan</v>
      </c>
      <c r="K82" s="30"/>
      <c r="L82" s="29" t="str">
        <f aca="false">IFERROR(INDEX(Clean_Data!$N$2:$N$500,MATCH($T82,Clean_Data!$A$2:$A$500,0))&amp;"","")</f>
        <v>Medium</v>
      </c>
      <c r="M82" s="31" t="n">
        <f aca="false">IFERROR(INDEX(Clean_Data!$R$2:$R$500,MATCH($T82,Clean_Data!$A$2:$A$500,0)),"")</f>
        <v>213</v>
      </c>
      <c r="N82" s="32" t="n">
        <f aca="false">IFERROR(INDEX(Clean_Data!$L$2:$L$500,MATCH($T82,Clean_Data!$A$2:$A$500,0)),"")</f>
        <v>46128</v>
      </c>
      <c r="O82" s="30" t="str">
        <f aca="false">IFERROR(INDEX(Clean_Data!$AB$2:$AB$500,MATCH($T82,Clean_Data!$A$2:$A$500,0))&amp;"","")</f>
        <v>Follow-up overdue. No contact 90+ days.</v>
      </c>
      <c r="P82" s="30"/>
      <c r="Q82" s="30"/>
      <c r="R82" s="30"/>
      <c r="S82" s="30"/>
      <c r="T82" s="33" t="s">
        <v>37</v>
      </c>
    </row>
    <row r="83" customFormat="false" ht="31.5" hidden="false" customHeight="true" outlineLevel="0" collapsed="false">
      <c r="B83" s="29" t="n">
        <v>6</v>
      </c>
      <c r="C83" s="30" t="str">
        <f aca="false">IFERROR(INDEX(Clean_Data!$B$2:$B$500,MATCH($T83,Clean_Data!$A$2:$A$500,0))&amp;"","")</f>
        <v>Nigeria</v>
      </c>
      <c r="D83" s="30"/>
      <c r="E83" s="30" t="str">
        <f aca="false">IFERROR(INDEX(Clean_Data!$C$2:$C$500,MATCH($T83,Clean_Data!$A$2:$A$500,0))&amp;"","")</f>
        <v>Sub-Saharan Africa</v>
      </c>
      <c r="F83" s="30"/>
      <c r="G83" s="30"/>
      <c r="H83" s="29" t="str">
        <f aca="false">IFERROR(INDEX(Clean_Data!$H$2:$H$500,MATCH($T83,Clean_Data!$A$2:$A$500,0))&amp;"","")</f>
        <v>Engaged</v>
      </c>
      <c r="I83" s="29"/>
      <c r="J83" s="30" t="str">
        <f aca="false">IFERROR(INDEX(Clean_Data!$I$2:$I$500,MATCH($T83,Clean_Data!$A$2:$A$500,0))&amp;"","")</f>
        <v>Arjun Mehta</v>
      </c>
      <c r="K83" s="30"/>
      <c r="L83" s="29" t="str">
        <f aca="false">IFERROR(INDEX(Clean_Data!$N$2:$N$500,MATCH($T83,Clean_Data!$A$2:$A$500,0))&amp;"","")</f>
        <v>Medium</v>
      </c>
      <c r="M83" s="31" t="n">
        <f aca="false">IFERROR(INDEX(Clean_Data!$R$2:$R$500,MATCH($T83,Clean_Data!$A$2:$A$500,0)),"")</f>
        <v>140</v>
      </c>
      <c r="N83" s="32" t="n">
        <f aca="false">IFERROR(INDEX(Clean_Data!$L$2:$L$500,MATCH($T83,Clean_Data!$A$2:$A$500,0)),"")</f>
        <v>46203</v>
      </c>
      <c r="O83" s="30" t="str">
        <f aca="false">IFERROR(INDEX(Clean_Data!$AB$2:$AB$500,MATCH($T83,Clean_Data!$A$2:$A$500,0))&amp;"","")</f>
        <v>Follow-up overdue. No contact 90+ days. Remarks conflict with status.</v>
      </c>
      <c r="P83" s="30"/>
      <c r="Q83" s="30"/>
      <c r="R83" s="30"/>
      <c r="S83" s="30"/>
      <c r="T83" s="33" t="s">
        <v>38</v>
      </c>
    </row>
    <row r="84" customFormat="false" ht="31.5" hidden="false" customHeight="true" outlineLevel="0" collapsed="false">
      <c r="B84" s="29" t="n">
        <v>7</v>
      </c>
      <c r="C84" s="30" t="str">
        <f aca="false">IFERROR(INDEX(Clean_Data!$B$2:$B$500,MATCH($T84,Clean_Data!$A$2:$A$500,0))&amp;"","")</f>
        <v>Iraq</v>
      </c>
      <c r="D84" s="30"/>
      <c r="E84" s="30" t="str">
        <f aca="false">IFERROR(INDEX(Clean_Data!$C$2:$C$500,MATCH($T84,Clean_Data!$A$2:$A$500,0))&amp;"","")</f>
        <v>Middle East &amp; North Africa</v>
      </c>
      <c r="F84" s="30"/>
      <c r="G84" s="30"/>
      <c r="H84" s="29" t="str">
        <f aca="false">IFERROR(INDEX(Clean_Data!$H$2:$H$500,MATCH($T84,Clean_Data!$A$2:$A$500,0))&amp;"","")</f>
        <v>In Discussion</v>
      </c>
      <c r="I84" s="29"/>
      <c r="J84" s="30" t="str">
        <f aca="false">IFERROR(INDEX(Clean_Data!$I$2:$I$500,MATCH($T84,Clean_Data!$A$2:$A$500,0))&amp;"","")</f>
        <v>Sameer Khan</v>
      </c>
      <c r="K84" s="30"/>
      <c r="L84" s="29" t="str">
        <f aca="false">IFERROR(INDEX(Clean_Data!$N$2:$N$500,MATCH($T84,Clean_Data!$A$2:$A$500,0))&amp;"","")</f>
        <v>Medium</v>
      </c>
      <c r="M84" s="31" t="n">
        <f aca="false">IFERROR(INDEX(Clean_Data!$R$2:$R$500,MATCH($T84,Clean_Data!$A$2:$A$500,0)),"")</f>
        <v>131</v>
      </c>
      <c r="N84" s="32" t="n">
        <f aca="false">IFERROR(INDEX(Clean_Data!$L$2:$L$500,MATCH($T84,Clean_Data!$A$2:$A$500,0)),"")</f>
        <v>46210</v>
      </c>
      <c r="O84" s="30" t="str">
        <f aca="false">IFERROR(INDEX(Clean_Data!$AB$2:$AB$500,MATCH($T84,Clean_Data!$A$2:$A$500,0))&amp;"","")</f>
        <v>Follow-up overdue. No contact 90+ days.</v>
      </c>
      <c r="P84" s="30"/>
      <c r="Q84" s="30"/>
      <c r="R84" s="30"/>
      <c r="S84" s="30"/>
      <c r="T84" s="33" t="s">
        <v>39</v>
      </c>
    </row>
    <row r="85" customFormat="false" ht="31.5" hidden="false" customHeight="true" outlineLevel="0" collapsed="false">
      <c r="B85" s="29" t="n">
        <v>8</v>
      </c>
      <c r="C85" s="30" t="str">
        <f aca="false">IFERROR(INDEX(Clean_Data!$B$2:$B$500,MATCH($T85,Clean_Data!$A$2:$A$500,0))&amp;"","")</f>
        <v>Maldives</v>
      </c>
      <c r="D85" s="30"/>
      <c r="E85" s="30" t="str">
        <f aca="false">IFERROR(INDEX(Clean_Data!$C$2:$C$500,MATCH($T85,Clean_Data!$A$2:$A$500,0))&amp;"","")</f>
        <v>South &amp; Central Asia</v>
      </c>
      <c r="F85" s="30"/>
      <c r="G85" s="30"/>
      <c r="H85" s="29" t="str">
        <f aca="false">IFERROR(INDEX(Clean_Data!$H$2:$H$500,MATCH($T85,Clean_Data!$A$2:$A$500,0))&amp;"","")</f>
        <v>In Discussion</v>
      </c>
      <c r="I85" s="29"/>
      <c r="J85" s="30" t="str">
        <f aca="false">IFERROR(INDEX(Clean_Data!$I$2:$I$500,MATCH($T85,Clean_Data!$A$2:$A$500,0))&amp;"","")</f>
        <v>Arjun Mehta</v>
      </c>
      <c r="K85" s="30"/>
      <c r="L85" s="29" t="str">
        <f aca="false">IFERROR(INDEX(Clean_Data!$N$2:$N$500,MATCH($T85,Clean_Data!$A$2:$A$500,0))&amp;"","")</f>
        <v>Medium</v>
      </c>
      <c r="M85" s="31" t="n">
        <f aca="false">IFERROR(INDEX(Clean_Data!$R$2:$R$500,MATCH($T85,Clean_Data!$A$2:$A$500,0)),"")</f>
        <v>107</v>
      </c>
      <c r="N85" s="32" t="n">
        <f aca="false">IFERROR(INDEX(Clean_Data!$L$2:$L$500,MATCH($T85,Clean_Data!$A$2:$A$500,0)),"")</f>
        <v>46242</v>
      </c>
      <c r="O85" s="30" t="str">
        <f aca="false">IFERROR(INDEX(Clean_Data!$AB$2:$AB$500,MATCH($T85,Clean_Data!$A$2:$A$500,0))&amp;"","")</f>
        <v>Follow-up overdue. No contact 90+ days.</v>
      </c>
      <c r="P85" s="30"/>
      <c r="Q85" s="30"/>
      <c r="R85" s="30"/>
      <c r="S85" s="30"/>
      <c r="T85" s="33" t="s">
        <v>40</v>
      </c>
    </row>
    <row r="86" customFormat="false" ht="31.5" hidden="false" customHeight="true" outlineLevel="0" collapsed="false">
      <c r="B86" s="29" t="n">
        <v>9</v>
      </c>
      <c r="C86" s="30" t="str">
        <f aca="false">IFERROR(INDEX(Clean_Data!$B$2:$B$500,MATCH($T86,Clean_Data!$A$2:$A$500,0))&amp;"","")</f>
        <v>Denmark</v>
      </c>
      <c r="D86" s="30"/>
      <c r="E86" s="30" t="str">
        <f aca="false">IFERROR(INDEX(Clean_Data!$C$2:$C$500,MATCH($T86,Clean_Data!$A$2:$A$500,0))&amp;"","")</f>
        <v>Europe</v>
      </c>
      <c r="F86" s="30"/>
      <c r="G86" s="30"/>
      <c r="H86" s="29" t="str">
        <f aca="false">IFERROR(INDEX(Clean_Data!$H$2:$H$500,MATCH($T86,Clean_Data!$A$2:$A$500,0))&amp;"","")</f>
        <v>Meeting Scheduled</v>
      </c>
      <c r="I86" s="29"/>
      <c r="J86" s="30" t="str">
        <f aca="false">IFERROR(INDEX(Clean_Data!$I$2:$I$500,MATCH($T86,Clean_Data!$A$2:$A$500,0))&amp;"","")</f>
        <v>Sameer Khan</v>
      </c>
      <c r="K86" s="30"/>
      <c r="L86" s="29" t="str">
        <f aca="false">IFERROR(INDEX(Clean_Data!$N$2:$N$500,MATCH($T86,Clean_Data!$A$2:$A$500,0))&amp;"","")</f>
        <v>Medium</v>
      </c>
      <c r="M86" s="31" t="n">
        <f aca="false">IFERROR(INDEX(Clean_Data!$R$2:$R$500,MATCH($T86,Clean_Data!$A$2:$A$500,0)),"")</f>
        <v>105</v>
      </c>
      <c r="N86" s="32" t="n">
        <f aca="false">IFERROR(INDEX(Clean_Data!$L$2:$L$500,MATCH($T86,Clean_Data!$A$2:$A$500,0)),"")</f>
        <v>46215</v>
      </c>
      <c r="O86" s="30" t="str">
        <f aca="false">IFERROR(INDEX(Clean_Data!$AB$2:$AB$500,MATCH($T86,Clean_Data!$A$2:$A$500,0))&amp;"","")</f>
        <v>Follow-up overdue. No contact 90+ days.</v>
      </c>
      <c r="P86" s="30"/>
      <c r="Q86" s="30"/>
      <c r="R86" s="30"/>
      <c r="S86" s="30"/>
      <c r="T86" s="33" t="s">
        <v>41</v>
      </c>
    </row>
    <row r="87" customFormat="false" ht="31.5" hidden="false" customHeight="true" outlineLevel="0" collapsed="false">
      <c r="B87" s="29" t="n">
        <v>10</v>
      </c>
      <c r="C87" s="30" t="str">
        <f aca="false">IFERROR(INDEX(Clean_Data!$B$2:$B$500,MATCH($T87,Clean_Data!$A$2:$A$500,0))&amp;"","")</f>
        <v>Peru</v>
      </c>
      <c r="D87" s="30"/>
      <c r="E87" s="30" t="str">
        <f aca="false">IFERROR(INDEX(Clean_Data!$C$2:$C$500,MATCH($T87,Clean_Data!$A$2:$A$500,0))&amp;"","")</f>
        <v>Americas</v>
      </c>
      <c r="F87" s="30"/>
      <c r="G87" s="30"/>
      <c r="H87" s="29" t="str">
        <f aca="false">IFERROR(INDEX(Clean_Data!$H$2:$H$500,MATCH($T87,Clean_Data!$A$2:$A$500,0))&amp;"","")</f>
        <v>Initial Contact</v>
      </c>
      <c r="I87" s="29"/>
      <c r="J87" s="30" t="str">
        <f aca="false">IFERROR(INDEX(Clean_Data!$I$2:$I$500,MATCH($T87,Clean_Data!$A$2:$A$500,0))&amp;"","")</f>
        <v>Priya Nair</v>
      </c>
      <c r="K87" s="30"/>
      <c r="L87" s="29" t="str">
        <f aca="false">IFERROR(INDEX(Clean_Data!$N$2:$N$500,MATCH($T87,Clean_Data!$A$2:$A$500,0))&amp;"","")</f>
        <v>Low</v>
      </c>
      <c r="M87" s="31" t="n">
        <f aca="false">IFERROR(INDEX(Clean_Data!$R$2:$R$500,MATCH($T87,Clean_Data!$A$2:$A$500,0)),"")</f>
        <v>224</v>
      </c>
      <c r="N87" s="32" t="n">
        <f aca="false">IFERROR(INDEX(Clean_Data!$L$2:$L$500,MATCH($T87,Clean_Data!$A$2:$A$500,0)),"")</f>
        <v>46134</v>
      </c>
      <c r="O87" s="30" t="str">
        <f aca="false">IFERROR(INDEX(Clean_Data!$AB$2:$AB$500,MATCH($T87,Clean_Data!$A$2:$A$500,0))&amp;"","")</f>
        <v>Follow-up overdue. No contact 90+ days.</v>
      </c>
      <c r="P87" s="30"/>
      <c r="Q87" s="30"/>
      <c r="R87" s="30"/>
      <c r="S87" s="30"/>
      <c r="T87" s="33" t="s">
        <v>42</v>
      </c>
    </row>
    <row r="88" customFormat="false" ht="31.5" hidden="false" customHeight="true" outlineLevel="0" collapsed="false">
      <c r="B88" s="29" t="n">
        <v>11</v>
      </c>
      <c r="C88" s="30" t="str">
        <f aca="false">IFERROR(INDEX(Clean_Data!$B$2:$B$500,MATCH($T88,Clean_Data!$A$2:$A$500,0))&amp;"","")</f>
        <v>Germany</v>
      </c>
      <c r="D88" s="30"/>
      <c r="E88" s="30" t="str">
        <f aca="false">IFERROR(INDEX(Clean_Data!$C$2:$C$500,MATCH($T88,Clean_Data!$A$2:$A$500,0))&amp;"","")</f>
        <v>Europe</v>
      </c>
      <c r="F88" s="30"/>
      <c r="G88" s="30"/>
      <c r="H88" s="29" t="str">
        <f aca="false">IFERROR(INDEX(Clean_Data!$H$2:$H$500,MATCH($T88,Clean_Data!$A$2:$A$500,0))&amp;"","")</f>
        <v>Initial Contact</v>
      </c>
      <c r="I88" s="29"/>
      <c r="J88" s="30" t="str">
        <f aca="false">IFERROR(INDEX(Clean_Data!$I$2:$I$500,MATCH($T88,Clean_Data!$A$2:$A$500,0))&amp;"","")</f>
        <v>Priya Nair</v>
      </c>
      <c r="K88" s="30"/>
      <c r="L88" s="29" t="str">
        <f aca="false">IFERROR(INDEX(Clean_Data!$N$2:$N$500,MATCH($T88,Clean_Data!$A$2:$A$500,0))&amp;"","")</f>
        <v>Low</v>
      </c>
      <c r="M88" s="31" t="n">
        <f aca="false">IFERROR(INDEX(Clean_Data!$R$2:$R$500,MATCH($T88,Clean_Data!$A$2:$A$500,0)),"")</f>
        <v>222</v>
      </c>
      <c r="N88" s="32" t="n">
        <f aca="false">IFERROR(INDEX(Clean_Data!$L$2:$L$500,MATCH($T88,Clean_Data!$A$2:$A$500,0)),"")</f>
        <v>46132</v>
      </c>
      <c r="O88" s="30" t="str">
        <f aca="false">IFERROR(INDEX(Clean_Data!$AB$2:$AB$500,MATCH($T88,Clean_Data!$A$2:$A$500,0))&amp;"","")</f>
        <v>Follow-up overdue. No contact 90+ days.</v>
      </c>
      <c r="P88" s="30"/>
      <c r="Q88" s="30"/>
      <c r="R88" s="30"/>
      <c r="S88" s="30"/>
      <c r="T88" s="33" t="s">
        <v>43</v>
      </c>
    </row>
    <row r="89" customFormat="false" ht="31.5" hidden="false" customHeight="true" outlineLevel="0" collapsed="false">
      <c r="B89" s="29" t="n">
        <v>12</v>
      </c>
      <c r="C89" s="30" t="str">
        <f aca="false">IFERROR(INDEX(Clean_Data!$B$2:$B$500,MATCH($T89,Clean_Data!$A$2:$A$500,0))&amp;"","")</f>
        <v>Zimbabwe</v>
      </c>
      <c r="D89" s="30"/>
      <c r="E89" s="30" t="str">
        <f aca="false">IFERROR(INDEX(Clean_Data!$C$2:$C$500,MATCH($T89,Clean_Data!$A$2:$A$500,0))&amp;"","")</f>
        <v>Sub-Saharan Africa</v>
      </c>
      <c r="F89" s="30"/>
      <c r="G89" s="30"/>
      <c r="H89" s="29" t="str">
        <f aca="false">IFERROR(INDEX(Clean_Data!$H$2:$H$500,MATCH($T89,Clean_Data!$A$2:$A$500,0))&amp;"","")</f>
        <v>Initial Contact</v>
      </c>
      <c r="I89" s="29"/>
      <c r="J89" s="30" t="str">
        <f aca="false">IFERROR(INDEX(Clean_Data!$I$2:$I$500,MATCH($T89,Clean_Data!$A$2:$A$500,0))&amp;"","")</f>
        <v>Arjun Mehta</v>
      </c>
      <c r="K89" s="30"/>
      <c r="L89" s="29" t="str">
        <f aca="false">IFERROR(INDEX(Clean_Data!$N$2:$N$500,MATCH($T89,Clean_Data!$A$2:$A$500,0))&amp;"","")</f>
        <v>Low</v>
      </c>
      <c r="M89" s="31" t="n">
        <f aca="false">IFERROR(INDEX(Clean_Data!$R$2:$R$500,MATCH($T89,Clean_Data!$A$2:$A$500,0)),"")</f>
        <v>221</v>
      </c>
      <c r="N89" s="32" t="n">
        <f aca="false">IFERROR(INDEX(Clean_Data!$L$2:$L$500,MATCH($T89,Clean_Data!$A$2:$A$500,0)),"")</f>
        <v>46120</v>
      </c>
      <c r="O89" s="30" t="str">
        <f aca="false">IFERROR(INDEX(Clean_Data!$AB$2:$AB$500,MATCH($T89,Clean_Data!$A$2:$A$500,0))&amp;"","")</f>
        <v>Follow-up overdue. No contact 90+ days.</v>
      </c>
      <c r="P89" s="30"/>
      <c r="Q89" s="30"/>
      <c r="R89" s="30"/>
      <c r="S89" s="30"/>
      <c r="T89" s="33" t="s">
        <v>44</v>
      </c>
    </row>
    <row r="90" customFormat="false" ht="25.5" hidden="false" customHeight="true" outlineLevel="0" collapsed="false">
      <c r="B90" s="34" t="s">
        <v>45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</row>
    <row r="91" customFormat="false" ht="25.5" hidden="false" customHeight="true" outlineLevel="0" collapsed="false">
      <c r="B91" s="34" t="s">
        <v>46</v>
      </c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</row>
  </sheetData>
  <mergeCells count="112">
    <mergeCell ref="B1:S2"/>
    <mergeCell ref="B3:S3"/>
    <mergeCell ref="B5:D5"/>
    <mergeCell ref="E5:G5"/>
    <mergeCell ref="H5:J5"/>
    <mergeCell ref="K5:M5"/>
    <mergeCell ref="N5:P5"/>
    <mergeCell ref="Q5:S5"/>
    <mergeCell ref="B6:D6"/>
    <mergeCell ref="E6:G6"/>
    <mergeCell ref="H6:J6"/>
    <mergeCell ref="K6:M6"/>
    <mergeCell ref="N6:P6"/>
    <mergeCell ref="Q6:S6"/>
    <mergeCell ref="B7:D7"/>
    <mergeCell ref="E7:G7"/>
    <mergeCell ref="H7:J7"/>
    <mergeCell ref="K7:M7"/>
    <mergeCell ref="N7:P7"/>
    <mergeCell ref="Q7:S7"/>
    <mergeCell ref="B9:S9"/>
    <mergeCell ref="B10:S10"/>
    <mergeCell ref="B11:S11"/>
    <mergeCell ref="B12:S12"/>
    <mergeCell ref="B13:S13"/>
    <mergeCell ref="B15:S15"/>
    <mergeCell ref="B32:S32"/>
    <mergeCell ref="B66:S66"/>
    <mergeCell ref="B67:E67"/>
    <mergeCell ref="P67:S67"/>
    <mergeCell ref="B68:E68"/>
    <mergeCell ref="P68:S68"/>
    <mergeCell ref="B69:E69"/>
    <mergeCell ref="P69:S69"/>
    <mergeCell ref="B70:E70"/>
    <mergeCell ref="P70:S70"/>
    <mergeCell ref="B71:E71"/>
    <mergeCell ref="P71:S71"/>
    <mergeCell ref="B72:E72"/>
    <mergeCell ref="P72:S72"/>
    <mergeCell ref="B73:E73"/>
    <mergeCell ref="P73:S73"/>
    <mergeCell ref="B74:E74"/>
    <mergeCell ref="P74:S74"/>
    <mergeCell ref="B76:S76"/>
    <mergeCell ref="C77:D77"/>
    <mergeCell ref="E77:G77"/>
    <mergeCell ref="H77:I77"/>
    <mergeCell ref="J77:K77"/>
    <mergeCell ref="O77:S77"/>
    <mergeCell ref="C78:D78"/>
    <mergeCell ref="E78:G78"/>
    <mergeCell ref="H78:I78"/>
    <mergeCell ref="J78:K78"/>
    <mergeCell ref="O78:S78"/>
    <mergeCell ref="C79:D79"/>
    <mergeCell ref="E79:G79"/>
    <mergeCell ref="H79:I79"/>
    <mergeCell ref="J79:K79"/>
    <mergeCell ref="O79:S79"/>
    <mergeCell ref="C80:D80"/>
    <mergeCell ref="E80:G80"/>
    <mergeCell ref="H80:I80"/>
    <mergeCell ref="J80:K80"/>
    <mergeCell ref="O80:S80"/>
    <mergeCell ref="C81:D81"/>
    <mergeCell ref="E81:G81"/>
    <mergeCell ref="H81:I81"/>
    <mergeCell ref="J81:K81"/>
    <mergeCell ref="O81:S81"/>
    <mergeCell ref="C82:D82"/>
    <mergeCell ref="E82:G82"/>
    <mergeCell ref="H82:I82"/>
    <mergeCell ref="J82:K82"/>
    <mergeCell ref="O82:S82"/>
    <mergeCell ref="C83:D83"/>
    <mergeCell ref="E83:G83"/>
    <mergeCell ref="H83:I83"/>
    <mergeCell ref="J83:K83"/>
    <mergeCell ref="O83:S83"/>
    <mergeCell ref="C84:D84"/>
    <mergeCell ref="E84:G84"/>
    <mergeCell ref="H84:I84"/>
    <mergeCell ref="J84:K84"/>
    <mergeCell ref="O84:S84"/>
    <mergeCell ref="C85:D85"/>
    <mergeCell ref="E85:G85"/>
    <mergeCell ref="H85:I85"/>
    <mergeCell ref="J85:K85"/>
    <mergeCell ref="O85:S85"/>
    <mergeCell ref="C86:D86"/>
    <mergeCell ref="E86:G86"/>
    <mergeCell ref="H86:I86"/>
    <mergeCell ref="J86:K86"/>
    <mergeCell ref="O86:S86"/>
    <mergeCell ref="C87:D87"/>
    <mergeCell ref="E87:G87"/>
    <mergeCell ref="H87:I87"/>
    <mergeCell ref="J87:K87"/>
    <mergeCell ref="O87:S87"/>
    <mergeCell ref="C88:D88"/>
    <mergeCell ref="E88:G88"/>
    <mergeCell ref="H88:I88"/>
    <mergeCell ref="J88:K88"/>
    <mergeCell ref="O88:S88"/>
    <mergeCell ref="C89:D89"/>
    <mergeCell ref="E89:G89"/>
    <mergeCell ref="H89:I89"/>
    <mergeCell ref="J89:K89"/>
    <mergeCell ref="O89:S89"/>
    <mergeCell ref="B90:S90"/>
    <mergeCell ref="B91:S91"/>
  </mergeCells>
  <conditionalFormatting sqref="I68:I73">
    <cfRule type="dataBar" priority="2">
      <dataBar showValue="1" minLength="10" maxLength="90">
        <cfvo type="num" val="0"/>
        <cfvo type="num" val="1"/>
        <color rgb="FF9DC3E6"/>
      </dataBar>
      <extLst>
        <ext xmlns:x14="http://schemas.microsoft.com/office/spreadsheetml/2009/9/main" uri="{B025F937-C7B1-47D3-B67F-A62EFF666E3E}">
          <x14:id>{A2604F62-814F-4129-B466-8B1E2E803486}</x14:id>
        </ext>
      </extLst>
    </cfRule>
  </conditionalFormatting>
  <conditionalFormatting sqref="L68:M73">
    <cfRule type="cellIs" priority="3" operator="greaterThanOrEqual" aboveAverage="0" equalAverage="0" bottom="0" percent="0" rank="0" text="" dxfId="0">
      <formula>3</formula>
    </cfRule>
  </conditionalFormatting>
  <conditionalFormatting sqref="P68:P73">
    <cfRule type="expression" priority="4" aboveAverage="0" equalAverage="0" bottom="0" percent="0" rank="0" text="" dxfId="0">
      <formula>LEFT(P68,5)="Below"</formula>
    </cfRule>
    <cfRule type="expression" priority="5" aboveAverage="0" equalAverage="0" bottom="0" percent="0" rank="0" text="" dxfId="1">
      <formula>LEFT(P68,7)="Engaged"</formula>
    </cfRule>
    <cfRule type="expression" priority="6" aboveAverage="0" equalAverage="0" bottom="0" percent="0" rank="0" text="" dxfId="2">
      <formula>P68="On track"</formula>
    </cfRule>
  </conditionalFormatting>
  <conditionalFormatting sqref="M78:M89">
    <cfRule type="cellIs" priority="7" operator="greaterThan" aboveAverage="0" equalAverage="0" bottom="0" percent="0" rank="0" text="" dxfId="0">
      <formula>90</formula>
    </cfRule>
  </conditionalFormatting>
  <conditionalFormatting sqref="L78:L89">
    <cfRule type="cellIs" priority="8" operator="equal" aboveAverage="0" equalAverage="0" bottom="0" percent="0" rank="0" text="" dxfId="2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5" man="true" max="16383" min="0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604F62-814F-4129-B466-8B1E2E80348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9DC3E6"/>
              <x14:axisColor rgb="FF000000"/>
            </x14:dataBar>
          </x14:cfRule>
          <xm:sqref>I68:I73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44"/>
    <col collapsed="false" customWidth="true" hidden="false" outlineLevel="0" max="9" min="9" style="0" width="46"/>
  </cols>
  <sheetData>
    <row r="1" customFormat="false" ht="33.75" hidden="false" customHeight="true" outlineLevel="0" collapsed="false">
      <c r="A1" s="35" t="s">
        <v>47</v>
      </c>
      <c r="B1" s="35"/>
      <c r="C1" s="35"/>
      <c r="D1" s="35"/>
      <c r="E1" s="35"/>
      <c r="F1" s="35"/>
      <c r="G1" s="35"/>
      <c r="H1" s="35"/>
      <c r="I1" s="35"/>
    </row>
    <row r="2" customFormat="false" ht="15" hidden="false" customHeight="false" outlineLevel="0" collapsed="false">
      <c r="A2" s="36" t="str">
        <f aca="false">"Source: "&amp;COUNTA(Raw_Data!A2:A92)+COUNTBLANK(Raw_Data!A2:A92)&amp;" raw records reviewed | "&amp;COUNTA(Clean_Data!A2:A500)&amp;" unique embassies after cleaning | Report date "&amp;TEXT(Analysis!B3,"dd-mmm-yyyy")</f>
        <v>Source: 91 raw records reviewed | 84 unique embassies after cleaning | Report date 05-Oct-2026</v>
      </c>
      <c r="B2" s="36"/>
      <c r="C2" s="36"/>
      <c r="D2" s="36"/>
      <c r="E2" s="36"/>
      <c r="F2" s="36"/>
      <c r="G2" s="36"/>
      <c r="H2" s="36"/>
      <c r="I2" s="36"/>
    </row>
    <row r="4" customFormat="false" ht="15" hidden="false" customHeight="false" outlineLevel="0" collapsed="false">
      <c r="A4" s="37" t="s">
        <v>48</v>
      </c>
      <c r="B4" s="37"/>
      <c r="C4" s="37" t="s">
        <v>49</v>
      </c>
      <c r="D4" s="37"/>
      <c r="E4" s="37" t="s">
        <v>50</v>
      </c>
      <c r="F4" s="37"/>
      <c r="G4" s="37" t="s">
        <v>51</v>
      </c>
      <c r="H4" s="37"/>
    </row>
    <row r="5" customFormat="false" ht="30" hidden="false" customHeight="true" outlineLevel="0" collapsed="false">
      <c r="A5" s="38" t="n">
        <f aca="false">ROWS(Raw_Data!A2:A92)</f>
        <v>91</v>
      </c>
      <c r="B5" s="38"/>
      <c r="C5" s="38" t="n">
        <f aca="false">DQ_Checks!$V$93</f>
        <v>72</v>
      </c>
      <c r="D5" s="38"/>
      <c r="E5" s="39" t="n">
        <f aca="false">1-C5/A5</f>
        <v>0.208791208791209</v>
      </c>
      <c r="F5" s="39"/>
      <c r="G5" s="38" t="n">
        <f aca="false">ROWS(Raw_Data!A2:A92)-COUNTA(Clean_Data!A2:A500)</f>
        <v>7</v>
      </c>
      <c r="H5" s="38"/>
    </row>
    <row r="7" customFormat="false" ht="15" hidden="false" customHeight="false" outlineLevel="0" collapsed="false">
      <c r="A7" s="40" t="s">
        <v>52</v>
      </c>
    </row>
    <row r="8" customFormat="false" ht="30" hidden="false" customHeight="true" outlineLevel="0" collapsed="false">
      <c r="A8" s="41" t="s">
        <v>25</v>
      </c>
      <c r="B8" s="41" t="s">
        <v>53</v>
      </c>
      <c r="C8" s="41" t="s">
        <v>54</v>
      </c>
      <c r="D8" s="41" t="s">
        <v>55</v>
      </c>
      <c r="E8" s="41" t="s">
        <v>56</v>
      </c>
      <c r="F8" s="41" t="s">
        <v>57</v>
      </c>
      <c r="G8" s="41" t="s">
        <v>58</v>
      </c>
      <c r="H8" s="41" t="s">
        <v>59</v>
      </c>
      <c r="I8" s="41" t="s">
        <v>60</v>
      </c>
    </row>
    <row r="9" customFormat="false" ht="42" hidden="false" customHeight="true" outlineLevel="0" collapsed="false">
      <c r="A9" s="42" t="n">
        <v>1</v>
      </c>
      <c r="B9" s="43" t="s">
        <v>61</v>
      </c>
      <c r="C9" s="43" t="s">
        <v>62</v>
      </c>
      <c r="D9" s="43" t="s">
        <v>63</v>
      </c>
      <c r="E9" s="42" t="n">
        <f aca="false">ROWS(Raw_Data!A2:A92)-COUNTA(Clean_Data!A2:A500)</f>
        <v>7</v>
      </c>
      <c r="F9" s="44" t="n">
        <f aca="false">IF((ROWS(Raw_Data!A2:A92))=0,0,E9/(ROWS(Raw_Data!A2:A92)))</f>
        <v>0.0769230769230769</v>
      </c>
      <c r="G9" s="45" t="s">
        <v>64</v>
      </c>
      <c r="H9" s="43" t="s">
        <v>65</v>
      </c>
      <c r="I9" s="43" t="s">
        <v>66</v>
      </c>
    </row>
    <row r="10" customFormat="false" ht="42" hidden="false" customHeight="true" outlineLevel="0" collapsed="false">
      <c r="A10" s="42" t="n">
        <v>2</v>
      </c>
      <c r="B10" s="43" t="s">
        <v>61</v>
      </c>
      <c r="C10" s="43" t="s">
        <v>67</v>
      </c>
      <c r="D10" s="43" t="s">
        <v>68</v>
      </c>
      <c r="E10" s="42" t="n">
        <f aca="false">DQ_Checks!$Q$93</f>
        <v>8</v>
      </c>
      <c r="F10" s="44" t="n">
        <f aca="false">IF((ROWS(Raw_Data!A2:A92))=0,0,E10/(ROWS(Raw_Data!A2:A92)))</f>
        <v>0.0879120879120879</v>
      </c>
      <c r="G10" s="45" t="s">
        <v>64</v>
      </c>
      <c r="H10" s="43" t="s">
        <v>69</v>
      </c>
      <c r="I10" s="43" t="s">
        <v>70</v>
      </c>
    </row>
    <row r="11" customFormat="false" ht="42" hidden="false" customHeight="true" outlineLevel="0" collapsed="false">
      <c r="A11" s="42" t="n">
        <v>3</v>
      </c>
      <c r="B11" s="43" t="s">
        <v>71</v>
      </c>
      <c r="C11" s="43" t="s">
        <v>72</v>
      </c>
      <c r="D11" s="43" t="s">
        <v>68</v>
      </c>
      <c r="E11" s="42" t="n">
        <f aca="false">DQ_Checks!$T$93</f>
        <v>2</v>
      </c>
      <c r="F11" s="44" t="n">
        <f aca="false">IF((ROWS(Raw_Data!A2:A92))=0,0,E11/(ROWS(Raw_Data!A2:A92)))</f>
        <v>0.021978021978022</v>
      </c>
      <c r="G11" s="45" t="s">
        <v>64</v>
      </c>
      <c r="H11" s="43" t="s">
        <v>73</v>
      </c>
      <c r="I11" s="43" t="s">
        <v>74</v>
      </c>
    </row>
    <row r="12" customFormat="false" ht="42" hidden="false" customHeight="true" outlineLevel="0" collapsed="false">
      <c r="A12" s="42" t="n">
        <v>4</v>
      </c>
      <c r="B12" s="43" t="s">
        <v>75</v>
      </c>
      <c r="C12" s="43" t="s">
        <v>76</v>
      </c>
      <c r="D12" s="43" t="s">
        <v>77</v>
      </c>
      <c r="E12" s="42" t="n">
        <f aca="false">DQ_Checks!$C$93</f>
        <v>11</v>
      </c>
      <c r="F12" s="44" t="n">
        <f aca="false">IF((ROWS(Raw_Data!A2:A92))=0,0,E12/(ROWS(Raw_Data!A2:A92)))</f>
        <v>0.120879120879121</v>
      </c>
      <c r="G12" s="45" t="s">
        <v>64</v>
      </c>
      <c r="H12" s="43" t="s">
        <v>78</v>
      </c>
      <c r="I12" s="43" t="s">
        <v>79</v>
      </c>
    </row>
    <row r="13" customFormat="false" ht="42" hidden="false" customHeight="true" outlineLevel="0" collapsed="false">
      <c r="A13" s="42" t="n">
        <v>5</v>
      </c>
      <c r="B13" s="43" t="s">
        <v>75</v>
      </c>
      <c r="C13" s="43" t="s">
        <v>80</v>
      </c>
      <c r="D13" s="43" t="s">
        <v>81</v>
      </c>
      <c r="E13" s="42" t="n">
        <f aca="false">DQ_Checks!$F$93</f>
        <v>14</v>
      </c>
      <c r="F13" s="44" t="n">
        <f aca="false">IF((ROWS(Raw_Data!A2:A92))=0,0,E13/(ROWS(Raw_Data!A2:A92)))</f>
        <v>0.153846153846154</v>
      </c>
      <c r="G13" s="45" t="s">
        <v>64</v>
      </c>
      <c r="H13" s="43" t="s">
        <v>82</v>
      </c>
      <c r="I13" s="43" t="s">
        <v>83</v>
      </c>
    </row>
    <row r="14" customFormat="false" ht="42" hidden="false" customHeight="true" outlineLevel="0" collapsed="false">
      <c r="A14" s="42" t="n">
        <v>6</v>
      </c>
      <c r="B14" s="43" t="s">
        <v>71</v>
      </c>
      <c r="C14" s="43" t="s">
        <v>84</v>
      </c>
      <c r="D14" s="43" t="s">
        <v>11</v>
      </c>
      <c r="E14" s="42" t="n">
        <f aca="false">DQ_Checks!$D$93</f>
        <v>5</v>
      </c>
      <c r="F14" s="44" t="n">
        <f aca="false">IF((ROWS(Raw_Data!A2:A92))=0,0,E14/(ROWS(Raw_Data!A2:A92)))</f>
        <v>0.0549450549450549</v>
      </c>
      <c r="G14" s="46" t="s">
        <v>85</v>
      </c>
      <c r="H14" s="43" t="s">
        <v>86</v>
      </c>
      <c r="I14" s="43" t="s">
        <v>87</v>
      </c>
    </row>
    <row r="15" customFormat="false" ht="42" hidden="false" customHeight="true" outlineLevel="0" collapsed="false">
      <c r="A15" s="42" t="n">
        <v>7</v>
      </c>
      <c r="B15" s="43" t="s">
        <v>75</v>
      </c>
      <c r="C15" s="43" t="s">
        <v>88</v>
      </c>
      <c r="D15" s="43" t="s">
        <v>11</v>
      </c>
      <c r="E15" s="42" t="n">
        <f aca="false">DQ_Checks!$E$93</f>
        <v>8</v>
      </c>
      <c r="F15" s="44" t="n">
        <f aca="false">IF((ROWS(Raw_Data!A2:A92))=0,0,E15/(ROWS(Raw_Data!A2:A92)))</f>
        <v>0.0879120879120879</v>
      </c>
      <c r="G15" s="46" t="s">
        <v>85</v>
      </c>
      <c r="H15" s="43" t="s">
        <v>89</v>
      </c>
      <c r="I15" s="43" t="s">
        <v>90</v>
      </c>
    </row>
    <row r="16" customFormat="false" ht="42" hidden="false" customHeight="true" outlineLevel="0" collapsed="false">
      <c r="A16" s="42" t="n">
        <v>8</v>
      </c>
      <c r="B16" s="43" t="s">
        <v>91</v>
      </c>
      <c r="C16" s="43" t="s">
        <v>92</v>
      </c>
      <c r="D16" s="43" t="s">
        <v>93</v>
      </c>
      <c r="E16" s="42" t="n">
        <f aca="false">DQ_Checks!$U$93</f>
        <v>3</v>
      </c>
      <c r="F16" s="44" t="n">
        <f aca="false">IF((ROWS(Raw_Data!A2:A92))=0,0,E16/(ROWS(Raw_Data!A2:A92)))</f>
        <v>0.032967032967033</v>
      </c>
      <c r="G16" s="46" t="s">
        <v>85</v>
      </c>
      <c r="H16" s="43" t="s">
        <v>94</v>
      </c>
      <c r="I16" s="43" t="s">
        <v>95</v>
      </c>
    </row>
    <row r="17" customFormat="false" ht="42" hidden="false" customHeight="true" outlineLevel="0" collapsed="false">
      <c r="A17" s="42" t="n">
        <v>9</v>
      </c>
      <c r="B17" s="43" t="s">
        <v>71</v>
      </c>
      <c r="C17" s="43" t="s">
        <v>96</v>
      </c>
      <c r="D17" s="43" t="s">
        <v>97</v>
      </c>
      <c r="E17" s="42" t="n">
        <f aca="false">DQ_Checks!$G$93</f>
        <v>7</v>
      </c>
      <c r="F17" s="44" t="n">
        <f aca="false">IF((ROWS(Raw_Data!A2:A92))=0,0,E17/(ROWS(Raw_Data!A2:A92)))</f>
        <v>0.0769230769230769</v>
      </c>
      <c r="G17" s="46" t="s">
        <v>85</v>
      </c>
      <c r="H17" s="43" t="s">
        <v>98</v>
      </c>
      <c r="I17" s="43" t="s">
        <v>99</v>
      </c>
    </row>
    <row r="18" customFormat="false" ht="42" hidden="false" customHeight="true" outlineLevel="0" collapsed="false">
      <c r="A18" s="42" t="n">
        <v>10</v>
      </c>
      <c r="B18" s="43" t="s">
        <v>100</v>
      </c>
      <c r="C18" s="43" t="s">
        <v>101</v>
      </c>
      <c r="D18" s="43" t="s">
        <v>97</v>
      </c>
      <c r="E18" s="42" t="n">
        <f aca="false">DQ_Checks!$H$93</f>
        <v>7</v>
      </c>
      <c r="F18" s="44" t="n">
        <f aca="false">IF((ROWS(Raw_Data!A2:A92))=0,0,E18/(ROWS(Raw_Data!A2:A92)))</f>
        <v>0.0769230769230769</v>
      </c>
      <c r="G18" s="46" t="s">
        <v>85</v>
      </c>
      <c r="H18" s="43" t="s">
        <v>102</v>
      </c>
      <c r="I18" s="43" t="s">
        <v>103</v>
      </c>
    </row>
    <row r="19" customFormat="false" ht="42" hidden="false" customHeight="true" outlineLevel="0" collapsed="false">
      <c r="A19" s="42" t="n">
        <v>11</v>
      </c>
      <c r="B19" s="43" t="s">
        <v>71</v>
      </c>
      <c r="C19" s="43" t="s">
        <v>104</v>
      </c>
      <c r="D19" s="43" t="s">
        <v>105</v>
      </c>
      <c r="E19" s="42" t="n">
        <f aca="false">DQ_Checks!$I$93</f>
        <v>8</v>
      </c>
      <c r="F19" s="44" t="n">
        <f aca="false">IF((ROWS(Raw_Data!A2:A92))=0,0,E19/(ROWS(Raw_Data!A2:A92)))</f>
        <v>0.0879120879120879</v>
      </c>
      <c r="G19" s="47" t="s">
        <v>106</v>
      </c>
      <c r="H19" s="43" t="s">
        <v>107</v>
      </c>
      <c r="I19" s="43" t="s">
        <v>108</v>
      </c>
    </row>
    <row r="20" customFormat="false" ht="42" hidden="false" customHeight="true" outlineLevel="0" collapsed="false">
      <c r="A20" s="42" t="n">
        <v>12</v>
      </c>
      <c r="B20" s="43" t="s">
        <v>75</v>
      </c>
      <c r="C20" s="43" t="s">
        <v>109</v>
      </c>
      <c r="D20" s="43" t="s">
        <v>105</v>
      </c>
      <c r="E20" s="42" t="n">
        <f aca="false">DQ_Checks!$J$93</f>
        <v>12</v>
      </c>
      <c r="F20" s="44" t="n">
        <f aca="false">IF((ROWS(Raw_Data!A2:A92))=0,0,E20/(ROWS(Raw_Data!A2:A92)))</f>
        <v>0.131868131868132</v>
      </c>
      <c r="G20" s="47" t="s">
        <v>106</v>
      </c>
      <c r="H20" s="43" t="s">
        <v>110</v>
      </c>
      <c r="I20" s="43" t="s">
        <v>111</v>
      </c>
    </row>
    <row r="21" customFormat="false" ht="42" hidden="false" customHeight="true" outlineLevel="0" collapsed="false">
      <c r="A21" s="42" t="n">
        <v>13</v>
      </c>
      <c r="B21" s="43" t="s">
        <v>71</v>
      </c>
      <c r="C21" s="43" t="s">
        <v>112</v>
      </c>
      <c r="D21" s="43" t="s">
        <v>113</v>
      </c>
      <c r="E21" s="42" t="n">
        <f aca="false">DQ_Checks!$K$93</f>
        <v>9</v>
      </c>
      <c r="F21" s="44" t="n">
        <f aca="false">IF((ROWS(Raw_Data!A2:A92))=0,0,E21/(ROWS(Raw_Data!A2:A92)))</f>
        <v>0.0989010989010989</v>
      </c>
      <c r="G21" s="45" t="s">
        <v>64</v>
      </c>
      <c r="H21" s="43" t="s">
        <v>114</v>
      </c>
      <c r="I21" s="43" t="s">
        <v>115</v>
      </c>
    </row>
    <row r="22" customFormat="false" ht="42" hidden="false" customHeight="true" outlineLevel="0" collapsed="false">
      <c r="A22" s="42" t="n">
        <v>14</v>
      </c>
      <c r="B22" s="43" t="s">
        <v>71</v>
      </c>
      <c r="C22" s="43" t="s">
        <v>116</v>
      </c>
      <c r="D22" s="43" t="s">
        <v>117</v>
      </c>
      <c r="E22" s="42" t="n">
        <f aca="false">DQ_Checks!$L$93</f>
        <v>11</v>
      </c>
      <c r="F22" s="44" t="n">
        <f aca="false">IF((ROWS(Raw_Data!A2:A92))=0,0,E22/(ROWS(Raw_Data!A2:A92)))</f>
        <v>0.120879120879121</v>
      </c>
      <c r="G22" s="46" t="s">
        <v>85</v>
      </c>
      <c r="H22" s="43" t="s">
        <v>118</v>
      </c>
      <c r="I22" s="43" t="s">
        <v>119</v>
      </c>
    </row>
    <row r="23" customFormat="false" ht="42" hidden="false" customHeight="true" outlineLevel="0" collapsed="false">
      <c r="A23" s="42" t="n">
        <v>15</v>
      </c>
      <c r="B23" s="43" t="s">
        <v>71</v>
      </c>
      <c r="C23" s="43" t="s">
        <v>120</v>
      </c>
      <c r="D23" s="43" t="s">
        <v>121</v>
      </c>
      <c r="E23" s="42" t="n">
        <f aca="false">DQ_Checks!$S$93</f>
        <v>6</v>
      </c>
      <c r="F23" s="44" t="n">
        <f aca="false">IF((ROWS(Raw_Data!A2:A92))=0,0,E23/(ROWS(Raw_Data!A2:A92)))</f>
        <v>0.0659340659340659</v>
      </c>
      <c r="G23" s="45" t="s">
        <v>64</v>
      </c>
      <c r="H23" s="43" t="s">
        <v>122</v>
      </c>
      <c r="I23" s="43" t="s">
        <v>123</v>
      </c>
    </row>
    <row r="24" customFormat="false" ht="42" hidden="false" customHeight="true" outlineLevel="0" collapsed="false">
      <c r="A24" s="42" t="n">
        <v>16</v>
      </c>
      <c r="B24" s="43" t="s">
        <v>71</v>
      </c>
      <c r="C24" s="43" t="s">
        <v>124</v>
      </c>
      <c r="D24" s="43" t="s">
        <v>125</v>
      </c>
      <c r="E24" s="42" t="n">
        <f aca="false">DQ_Checks!$N$93</f>
        <v>6</v>
      </c>
      <c r="F24" s="44" t="n">
        <f aca="false">IF((ROWS(Raw_Data!A2:A92))=0,0,E24/(ROWS(Raw_Data!A2:A92)))</f>
        <v>0.0659340659340659</v>
      </c>
      <c r="G24" s="47" t="s">
        <v>106</v>
      </c>
      <c r="H24" s="43" t="s">
        <v>126</v>
      </c>
      <c r="I24" s="43" t="s">
        <v>127</v>
      </c>
    </row>
    <row r="25" customFormat="false" ht="42" hidden="false" customHeight="true" outlineLevel="0" collapsed="false">
      <c r="A25" s="42" t="n">
        <v>17</v>
      </c>
      <c r="B25" s="43" t="s">
        <v>100</v>
      </c>
      <c r="C25" s="43" t="s">
        <v>128</v>
      </c>
      <c r="D25" s="43" t="s">
        <v>125</v>
      </c>
      <c r="E25" s="42" t="n">
        <f aca="false">DQ_Checks!$O$93</f>
        <v>1</v>
      </c>
      <c r="F25" s="44" t="n">
        <f aca="false">IF((ROWS(Raw_Data!A2:A92))=0,0,E25/(ROWS(Raw_Data!A2:A92)))</f>
        <v>0.010989010989011</v>
      </c>
      <c r="G25" s="46" t="s">
        <v>85</v>
      </c>
      <c r="H25" s="43" t="s">
        <v>129</v>
      </c>
      <c r="I25" s="43" t="s">
        <v>130</v>
      </c>
    </row>
    <row r="26" customFormat="false" ht="42" hidden="false" customHeight="true" outlineLevel="0" collapsed="false">
      <c r="A26" s="42" t="n">
        <v>18</v>
      </c>
      <c r="B26" s="43" t="s">
        <v>100</v>
      </c>
      <c r="C26" s="43" t="s">
        <v>131</v>
      </c>
      <c r="D26" s="43" t="s">
        <v>132</v>
      </c>
      <c r="E26" s="42" t="n">
        <f aca="false">DQ_Checks!$M$93</f>
        <v>8</v>
      </c>
      <c r="F26" s="44" t="n">
        <f aca="false">IF((ROWS(Raw_Data!A2:A92))=0,0,E26/(ROWS(Raw_Data!A2:A92)))</f>
        <v>0.0879120879120879</v>
      </c>
      <c r="G26" s="46" t="s">
        <v>85</v>
      </c>
      <c r="H26" s="43" t="s">
        <v>133</v>
      </c>
      <c r="I26" s="43" t="s">
        <v>134</v>
      </c>
    </row>
    <row r="27" customFormat="false" ht="42" hidden="false" customHeight="true" outlineLevel="0" collapsed="false">
      <c r="A27" s="42" t="n">
        <v>19</v>
      </c>
      <c r="B27" s="43" t="s">
        <v>75</v>
      </c>
      <c r="C27" s="43" t="s">
        <v>135</v>
      </c>
      <c r="D27" s="43" t="s">
        <v>136</v>
      </c>
      <c r="E27" s="42" t="n">
        <f aca="false">DQ_Checks!$P$93</f>
        <v>9</v>
      </c>
      <c r="F27" s="44" t="n">
        <f aca="false">IF((ROWS(Raw_Data!A2:A92))=0,0,E27/(ROWS(Raw_Data!A2:A92)))</f>
        <v>0.0989010989010989</v>
      </c>
      <c r="G27" s="47" t="s">
        <v>106</v>
      </c>
      <c r="H27" s="43" t="s">
        <v>137</v>
      </c>
      <c r="I27" s="43" t="s">
        <v>138</v>
      </c>
    </row>
    <row r="28" customFormat="false" ht="42" hidden="false" customHeight="true" outlineLevel="0" collapsed="false">
      <c r="A28" s="42" t="n">
        <v>20</v>
      </c>
      <c r="B28" s="43" t="s">
        <v>91</v>
      </c>
      <c r="C28" s="43" t="s">
        <v>139</v>
      </c>
      <c r="D28" s="43" t="s">
        <v>140</v>
      </c>
      <c r="E28" s="42" t="n">
        <f aca="false">DQ_Checks!$R$93</f>
        <v>3</v>
      </c>
      <c r="F28" s="44" t="n">
        <f aca="false">IF((ROWS(Raw_Data!A2:A92))=0,0,E28/(ROWS(Raw_Data!A2:A92)))</f>
        <v>0.032967032967033</v>
      </c>
      <c r="G28" s="46" t="s">
        <v>85</v>
      </c>
      <c r="H28" s="43" t="s">
        <v>141</v>
      </c>
      <c r="I28" s="43" t="s">
        <v>142</v>
      </c>
    </row>
    <row r="29" customFormat="false" ht="42" hidden="false" customHeight="true" outlineLevel="0" collapsed="false">
      <c r="A29" s="42" t="n">
        <v>21</v>
      </c>
      <c r="B29" s="43" t="s">
        <v>91</v>
      </c>
      <c r="C29" s="43" t="s">
        <v>143</v>
      </c>
      <c r="D29" s="43" t="s">
        <v>144</v>
      </c>
      <c r="E29" s="42" t="n">
        <f aca="false">SUM(Clean_Data!X2:X500)</f>
        <v>4</v>
      </c>
      <c r="F29" s="44" t="n">
        <f aca="false">IF((COUNTA(Clean_Data!$A$2:$A$500))=0,0,E29/(COUNTA(Clean_Data!$A$2:$A$500)))</f>
        <v>0.0476190476190476</v>
      </c>
      <c r="G29" s="46" t="s">
        <v>85</v>
      </c>
      <c r="H29" s="43" t="s">
        <v>145</v>
      </c>
      <c r="I29" s="43" t="s">
        <v>146</v>
      </c>
    </row>
    <row r="30" customFormat="false" ht="42" hidden="false" customHeight="true" outlineLevel="0" collapsed="false">
      <c r="A30" s="42" t="n">
        <v>22</v>
      </c>
      <c r="B30" s="43" t="s">
        <v>91</v>
      </c>
      <c r="C30" s="43" t="s">
        <v>147</v>
      </c>
      <c r="D30" s="43" t="s">
        <v>148</v>
      </c>
      <c r="E30" s="42" t="n">
        <f aca="false">SUM(Clean_Data!Y2:Y500)</f>
        <v>3</v>
      </c>
      <c r="F30" s="44" t="n">
        <f aca="false">IF((COUNTA(Clean_Data!$A$2:$A$500))=0,0,E30/(COUNTA(Clean_Data!$A$2:$A$500)))</f>
        <v>0.0357142857142857</v>
      </c>
      <c r="G30" s="45" t="s">
        <v>64</v>
      </c>
      <c r="H30" s="43" t="s">
        <v>149</v>
      </c>
      <c r="I30" s="43" t="s">
        <v>150</v>
      </c>
    </row>
    <row r="31" customFormat="false" ht="42" hidden="false" customHeight="true" outlineLevel="0" collapsed="false">
      <c r="A31" s="42" t="n">
        <v>23</v>
      </c>
      <c r="B31" s="43" t="s">
        <v>91</v>
      </c>
      <c r="C31" s="43" t="s">
        <v>151</v>
      </c>
      <c r="D31" s="43" t="s">
        <v>152</v>
      </c>
      <c r="E31" s="42" t="n">
        <f aca="false">SUM(Clean_Data!Z2:Z500)</f>
        <v>3</v>
      </c>
      <c r="F31" s="44" t="n">
        <f aca="false">IF((COUNTA(Clean_Data!$A$2:$A$500))=0,0,E31/(COUNTA(Clean_Data!$A$2:$A$500)))</f>
        <v>0.0357142857142857</v>
      </c>
      <c r="G31" s="45" t="s">
        <v>64</v>
      </c>
      <c r="H31" s="43" t="s">
        <v>153</v>
      </c>
      <c r="I31" s="43" t="s">
        <v>154</v>
      </c>
    </row>
    <row r="32" customFormat="false" ht="42" hidden="false" customHeight="true" outlineLevel="0" collapsed="false">
      <c r="A32" s="42" t="n">
        <v>24</v>
      </c>
      <c r="B32" s="43" t="s">
        <v>155</v>
      </c>
      <c r="C32" s="43" t="s">
        <v>156</v>
      </c>
      <c r="D32" s="43" t="s">
        <v>157</v>
      </c>
      <c r="E32" s="42" t="n">
        <f aca="false">SUM(Clean_Data!U2:U500)</f>
        <v>7</v>
      </c>
      <c r="F32" s="44" t="n">
        <f aca="false">IF((COUNTA(Clean_Data!$A$2:$A$500))=0,0,E32/(COUNTA(Clean_Data!$A$2:$A$500)))</f>
        <v>0.0833333333333333</v>
      </c>
      <c r="G32" s="45" t="s">
        <v>64</v>
      </c>
      <c r="H32" s="43" t="s">
        <v>158</v>
      </c>
      <c r="I32" s="43" t="s">
        <v>159</v>
      </c>
    </row>
    <row r="33" customFormat="false" ht="42" hidden="false" customHeight="true" outlineLevel="0" collapsed="false">
      <c r="A33" s="42" t="n">
        <v>25</v>
      </c>
      <c r="B33" s="43" t="s">
        <v>155</v>
      </c>
      <c r="C33" s="43" t="s">
        <v>160</v>
      </c>
      <c r="D33" s="43" t="s">
        <v>157</v>
      </c>
      <c r="E33" s="42" t="n">
        <f aca="false">SUM(Clean_Data!S2:S500)</f>
        <v>30</v>
      </c>
      <c r="F33" s="44" t="n">
        <f aca="false">IF((COUNTA(Clean_Data!$A$2:$A$500))=0,0,E33/(COUNTA(Clean_Data!$A$2:$A$500)))</f>
        <v>0.357142857142857</v>
      </c>
      <c r="G33" s="45" t="s">
        <v>64</v>
      </c>
      <c r="H33" s="43" t="s">
        <v>161</v>
      </c>
      <c r="I33" s="43" t="s">
        <v>162</v>
      </c>
    </row>
    <row r="34" customFormat="false" ht="42" hidden="false" customHeight="true" outlineLevel="0" collapsed="false">
      <c r="A34" s="42" t="n">
        <v>26</v>
      </c>
      <c r="B34" s="43" t="s">
        <v>155</v>
      </c>
      <c r="C34" s="43" t="s">
        <v>163</v>
      </c>
      <c r="D34" s="43" t="s">
        <v>121</v>
      </c>
      <c r="E34" s="42" t="n">
        <f aca="false">SUM(Clean_Data!T2:T500)</f>
        <v>13</v>
      </c>
      <c r="F34" s="44" t="n">
        <f aca="false">IF((COUNTA(Clean_Data!$A$2:$A$500))=0,0,E34/(COUNTA(Clean_Data!$A$2:$A$500)))</f>
        <v>0.154761904761905</v>
      </c>
      <c r="G34" s="45" t="s">
        <v>64</v>
      </c>
      <c r="H34" s="43" t="s">
        <v>164</v>
      </c>
      <c r="I34" s="43" t="s">
        <v>165</v>
      </c>
    </row>
    <row r="35" customFormat="false" ht="42" hidden="false" customHeight="true" outlineLevel="0" collapsed="false">
      <c r="A35" s="42" t="n">
        <v>27</v>
      </c>
      <c r="B35" s="43" t="s">
        <v>71</v>
      </c>
      <c r="C35" s="43" t="s">
        <v>166</v>
      </c>
      <c r="D35" s="43" t="s">
        <v>113</v>
      </c>
      <c r="E35" s="42" t="n">
        <f aca="false">COUNTIFS(Clean_Data!A2:A500,"&lt;&gt;",Clean_Data!I2:I500,"")</f>
        <v>8</v>
      </c>
      <c r="F35" s="44" t="n">
        <f aca="false">IF((COUNTA(Clean_Data!$A$2:$A$500))=0,0,E35/(COUNTA(Clean_Data!$A$2:$A$500)))</f>
        <v>0.0952380952380952</v>
      </c>
      <c r="G35" s="45" t="s">
        <v>64</v>
      </c>
      <c r="H35" s="43" t="s">
        <v>167</v>
      </c>
      <c r="I35" s="43" t="s">
        <v>168</v>
      </c>
    </row>
    <row r="36" customFormat="false" ht="42" hidden="false" customHeight="true" outlineLevel="0" collapsed="false">
      <c r="A36" s="42" t="n">
        <v>28</v>
      </c>
      <c r="B36" s="43" t="s">
        <v>100</v>
      </c>
      <c r="C36" s="43" t="s">
        <v>169</v>
      </c>
      <c r="D36" s="43" t="s">
        <v>97</v>
      </c>
      <c r="E36" s="42" t="n">
        <f aca="false">COUNTIF(Clean_Data!V2:V500,"Invalid")+COUNTIF(Clean_Data!V2:V500,"Missing")</f>
        <v>13</v>
      </c>
      <c r="F36" s="44" t="n">
        <f aca="false">IF((COUNTA(Clean_Data!$A$2:$A$500))=0,0,E36/(COUNTA(Clean_Data!$A$2:$A$500)))</f>
        <v>0.154761904761905</v>
      </c>
      <c r="G36" s="46" t="s">
        <v>85</v>
      </c>
      <c r="H36" s="43" t="s">
        <v>170</v>
      </c>
      <c r="I36" s="43" t="s">
        <v>171</v>
      </c>
    </row>
    <row r="37" customFormat="false" ht="15" hidden="false" customHeight="false" outlineLevel="0" collapsed="false">
      <c r="A37" s="48" t="s">
        <v>172</v>
      </c>
      <c r="B37" s="48"/>
      <c r="C37" s="48"/>
      <c r="D37" s="48"/>
      <c r="E37" s="48"/>
      <c r="F37" s="48"/>
      <c r="G37" s="48"/>
      <c r="H37" s="48"/>
      <c r="I37" s="48"/>
    </row>
    <row r="39" customFormat="false" ht="15" hidden="false" customHeight="false" outlineLevel="0" collapsed="false">
      <c r="A39" s="40" t="s">
        <v>173</v>
      </c>
    </row>
    <row r="40" customFormat="false" ht="30" hidden="false" customHeight="true" outlineLevel="0" collapsed="false">
      <c r="A40" s="49" t="str">
        <f aca="false">"1. Only "&amp;TEXT(E5,"0%")&amp;" of raw records are fully clean; "&amp;C5&amp;" of "&amp;A5&amp;" records carry at least one issue, so the raw file should not be used for reporting without cleaning."</f>
        <v>1. Only 21% of raw records are fully clean; 72 of 91 records carry at least one issue, so the raw file should not be used for reporting without cleaning.</v>
      </c>
      <c r="B40" s="49"/>
      <c r="C40" s="49"/>
      <c r="D40" s="49"/>
      <c r="E40" s="49"/>
      <c r="F40" s="49"/>
      <c r="G40" s="49"/>
      <c r="H40" s="49"/>
      <c r="I40" s="49"/>
    </row>
    <row r="41" customFormat="false" ht="30" hidden="false" customHeight="true" outlineLevel="0" collapsed="false">
      <c r="A41" s="49" t="str">
        <f aca="false">"2. "&amp;G5&amp;" duplicate records were removed - the raw file would have overstated the number of embassies by "&amp;TEXT(G5/COUNTA(Clean_Data!A2:A500),"0.0%")&amp;"."</f>
        <v>2. 7 duplicate records were removed - the raw file would have overstated the number of embassies by 8.3%.</v>
      </c>
      <c r="B41" s="49"/>
      <c r="C41" s="49"/>
      <c r="D41" s="49"/>
      <c r="E41" s="49"/>
      <c r="F41" s="49"/>
      <c r="G41" s="49"/>
      <c r="H41" s="49"/>
      <c r="I41" s="49"/>
    </row>
    <row r="42" customFormat="false" ht="30" hidden="false" customHeight="true" outlineLevel="0" collapsed="false">
      <c r="A42" s="49" t="str">
        <f aca="false">"3. Status, region and country are free-text, which produced "&amp;DQ_Checks!$F$93&amp;" non-standard statuses, "&amp;DQ_Checks!$C$93&amp;" country-name variants and "&amp;DQ_Checks!$E$93&amp;" non-standard regions."</f>
        <v>3. Status, region and country are free-text, which produced 14 non-standard statuses, 11 country-name variants and 8 non-standard regions.</v>
      </c>
      <c r="B42" s="49"/>
      <c r="C42" s="49"/>
      <c r="D42" s="49"/>
      <c r="E42" s="49"/>
      <c r="F42" s="49"/>
      <c r="G42" s="49"/>
      <c r="H42" s="49"/>
      <c r="I42" s="49"/>
    </row>
    <row r="43" customFormat="false" ht="30" hidden="false" customHeight="true" outlineLevel="0" collapsed="false">
      <c r="A43" s="49" t="str">
        <f aca="false">"4. Process gaps matter more than typing errors: "&amp;SUM(Clean_Data!S2:S500)&amp;" live embassies have overdue follow-ups, "&amp;SUM(Clean_Data!U2:U500)&amp;" have no next-step date and "&amp;SUM(Clean_Data!T2:T500)&amp;" have gone silent for "&amp;Analysis!B4&amp;"+ days."</f>
        <v>4. Process gaps matter more than typing errors: 30 live embassies have overdue follow-ups, 7 have no next-step date and 13 have gone silent for 90+ days.</v>
      </c>
      <c r="B43" s="49"/>
      <c r="C43" s="49"/>
      <c r="D43" s="49"/>
      <c r="E43" s="49"/>
      <c r="F43" s="49"/>
      <c r="G43" s="49"/>
      <c r="H43" s="49"/>
      <c r="I43" s="49"/>
    </row>
    <row r="44" customFormat="false" ht="30" hidden="false" customHeight="true" outlineLevel="0" collapsed="false">
      <c r="A44" s="49" t="str">
        <f aca="false">"5. "&amp;SUM(Clean_Data!Z2:Z500)&amp;" embassies carry remarks saying they declined while still shown as live - the true pipeline is likely smaller than the status field suggests."</f>
        <v>5. 3 embassies carry remarks saying they declined while still shown as live - the true pipeline is likely smaller than the status field suggests.</v>
      </c>
      <c r="B44" s="49"/>
      <c r="C44" s="49"/>
      <c r="D44" s="49"/>
      <c r="E44" s="49"/>
      <c r="F44" s="49"/>
      <c r="G44" s="49"/>
      <c r="H44" s="49"/>
      <c r="I44" s="49"/>
    </row>
    <row r="45" customFormat="false" ht="30" hidden="false" customHeight="true" outlineLevel="0" collapsed="false">
      <c r="A45" s="49" t="str">
        <f aca="false">"6. Contact data is thin: "&amp;COUNTIF(Clean_Data!V2:V500,"Missing")+COUNTIF(Clean_Data!V2:V500,"Invalid")&amp;" embassies lack a usable email and "&amp;COUNTIF(Clean_Data!W2:W500,"Missing")+COUNTIF(Clean_Data!W2:W500,"Invalid")&amp;" lack a usable phone number."</f>
        <v>6. Contact data is thin: 13 embassies lack a usable email and 12 lack a usable phone number.</v>
      </c>
      <c r="B45" s="49"/>
      <c r="C45" s="49"/>
      <c r="D45" s="49"/>
      <c r="E45" s="49"/>
      <c r="F45" s="49"/>
      <c r="G45" s="49"/>
      <c r="H45" s="49"/>
      <c r="I45" s="49"/>
    </row>
    <row r="48" customFormat="false" ht="15" hidden="false" customHeight="false" outlineLevel="0" collapsed="false">
      <c r="A48" s="40" t="s">
        <v>174</v>
      </c>
    </row>
    <row r="49" customFormat="false" ht="27.75" hidden="false" customHeight="true" outlineLevel="0" collapsed="false">
      <c r="A49" s="49" t="s">
        <v>175</v>
      </c>
      <c r="B49" s="49"/>
      <c r="C49" s="49"/>
      <c r="D49" s="49"/>
      <c r="E49" s="49"/>
      <c r="F49" s="49"/>
      <c r="G49" s="49"/>
      <c r="H49" s="49"/>
      <c r="I49" s="49"/>
    </row>
    <row r="50" customFormat="false" ht="27.75" hidden="false" customHeight="true" outlineLevel="0" collapsed="false">
      <c r="A50" s="49" t="s">
        <v>176</v>
      </c>
      <c r="B50" s="49"/>
      <c r="C50" s="49"/>
      <c r="D50" s="49"/>
      <c r="E50" s="49"/>
      <c r="F50" s="49"/>
      <c r="G50" s="49"/>
      <c r="H50" s="49"/>
      <c r="I50" s="49"/>
    </row>
    <row r="51" customFormat="false" ht="27.75" hidden="false" customHeight="true" outlineLevel="0" collapsed="false">
      <c r="A51" s="49" t="s">
        <v>177</v>
      </c>
      <c r="B51" s="49"/>
      <c r="C51" s="49"/>
      <c r="D51" s="49"/>
      <c r="E51" s="49"/>
      <c r="F51" s="49"/>
      <c r="G51" s="49"/>
      <c r="H51" s="49"/>
      <c r="I51" s="49"/>
    </row>
    <row r="52" customFormat="false" ht="27.75" hidden="false" customHeight="true" outlineLevel="0" collapsed="false">
      <c r="A52" s="49" t="s">
        <v>178</v>
      </c>
      <c r="B52" s="49"/>
      <c r="C52" s="49"/>
      <c r="D52" s="49"/>
      <c r="E52" s="49"/>
      <c r="F52" s="49"/>
      <c r="G52" s="49"/>
      <c r="H52" s="49"/>
      <c r="I52" s="49"/>
    </row>
    <row r="53" customFormat="false" ht="27.75" hidden="false" customHeight="true" outlineLevel="0" collapsed="false">
      <c r="A53" s="49" t="s">
        <v>179</v>
      </c>
      <c r="B53" s="49"/>
      <c r="C53" s="49"/>
      <c r="D53" s="49"/>
      <c r="E53" s="49"/>
      <c r="F53" s="49"/>
      <c r="G53" s="49"/>
      <c r="H53" s="49"/>
      <c r="I53" s="49"/>
    </row>
    <row r="54" customFormat="false" ht="27.75" hidden="false" customHeight="true" outlineLevel="0" collapsed="false">
      <c r="A54" s="49" t="s">
        <v>180</v>
      </c>
      <c r="B54" s="49"/>
      <c r="C54" s="49"/>
      <c r="D54" s="49"/>
      <c r="E54" s="49"/>
      <c r="F54" s="49"/>
      <c r="G54" s="49"/>
      <c r="H54" s="49"/>
      <c r="I54" s="49"/>
    </row>
    <row r="55" customFormat="false" ht="27.75" hidden="false" customHeight="true" outlineLevel="0" collapsed="false">
      <c r="A55" s="49" t="s">
        <v>181</v>
      </c>
      <c r="B55" s="49"/>
      <c r="C55" s="49"/>
      <c r="D55" s="49"/>
      <c r="E55" s="49"/>
      <c r="F55" s="49"/>
      <c r="G55" s="49"/>
      <c r="H55" s="49"/>
      <c r="I55" s="49"/>
    </row>
  </sheetData>
  <mergeCells count="24">
    <mergeCell ref="A1:I1"/>
    <mergeCell ref="A2:I2"/>
    <mergeCell ref="A4:B4"/>
    <mergeCell ref="C4:D4"/>
    <mergeCell ref="E4:F4"/>
    <mergeCell ref="G4:H4"/>
    <mergeCell ref="A5:B5"/>
    <mergeCell ref="C5:D5"/>
    <mergeCell ref="E5:F5"/>
    <mergeCell ref="G5:H5"/>
    <mergeCell ref="A37:I37"/>
    <mergeCell ref="A40:I40"/>
    <mergeCell ref="A41:I41"/>
    <mergeCell ref="A42:I42"/>
    <mergeCell ref="A43:I43"/>
    <mergeCell ref="A44:I44"/>
    <mergeCell ref="A45:I45"/>
    <mergeCell ref="A49:I49"/>
    <mergeCell ref="A50:I50"/>
    <mergeCell ref="A51:I51"/>
    <mergeCell ref="A52:I52"/>
    <mergeCell ref="A53:I53"/>
    <mergeCell ref="A54:I54"/>
    <mergeCell ref="A55:I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R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8" min="2" style="0" width="13"/>
  </cols>
  <sheetData>
    <row r="1" customFormat="false" ht="17.35" hidden="false" customHeight="false" outlineLevel="0" collapsed="false">
      <c r="A1" s="50" t="s">
        <v>182</v>
      </c>
    </row>
    <row r="3" customFormat="false" ht="15" hidden="false" customHeight="false" outlineLevel="0" collapsed="false">
      <c r="A3" s="51" t="s">
        <v>183</v>
      </c>
      <c r="B3" s="52" t="n">
        <v>46300</v>
      </c>
      <c r="C3" s="53" t="s">
        <v>184</v>
      </c>
    </row>
    <row r="4" customFormat="false" ht="15" hidden="false" customHeight="false" outlineLevel="0" collapsed="false">
      <c r="A4" s="51" t="s">
        <v>185</v>
      </c>
      <c r="B4" s="54" t="n">
        <v>90</v>
      </c>
      <c r="C4" s="53" t="s">
        <v>186</v>
      </c>
    </row>
    <row r="5" customFormat="false" ht="15" hidden="false" customHeight="false" outlineLevel="0" collapsed="false">
      <c r="A5" s="51" t="s">
        <v>187</v>
      </c>
      <c r="B5" s="54" t="n">
        <v>12</v>
      </c>
      <c r="C5" s="53" t="s">
        <v>188</v>
      </c>
    </row>
    <row r="7" customFormat="false" ht="15" hidden="false" customHeight="false" outlineLevel="0" collapsed="false">
      <c r="A7" s="55" t="s">
        <v>189</v>
      </c>
    </row>
    <row r="8" customFormat="false" ht="21.75" hidden="false" customHeight="true" outlineLevel="0" collapsed="false">
      <c r="A8" s="56" t="s">
        <v>190</v>
      </c>
      <c r="B8" s="56" t="s">
        <v>12</v>
      </c>
      <c r="C8" s="56" t="s">
        <v>191</v>
      </c>
    </row>
    <row r="9" customFormat="false" ht="15" hidden="false" customHeight="false" outlineLevel="0" collapsed="false">
      <c r="A9" s="57" t="s">
        <v>21</v>
      </c>
      <c r="B9" s="57" t="n">
        <f aca="false">COUNTIF(Clean_Data!$H$2:$H$500,A9)</f>
        <v>10</v>
      </c>
      <c r="C9" s="58" t="n">
        <f aca="false">IF($B$16=0,0,B9/$B$16)</f>
        <v>0.119047619047619</v>
      </c>
    </row>
    <row r="10" customFormat="false" ht="15" hidden="false" customHeight="false" outlineLevel="0" collapsed="false">
      <c r="A10" s="57" t="s">
        <v>192</v>
      </c>
      <c r="B10" s="57" t="n">
        <f aca="false">COUNTIF(Clean_Data!$H$2:$H$500,A10)</f>
        <v>15</v>
      </c>
      <c r="C10" s="58" t="n">
        <f aca="false">IF($B$16=0,0,B10/$B$16)</f>
        <v>0.178571428571429</v>
      </c>
    </row>
    <row r="11" customFormat="false" ht="15" hidden="false" customHeight="false" outlineLevel="0" collapsed="false">
      <c r="A11" s="57" t="s">
        <v>193</v>
      </c>
      <c r="B11" s="57" t="n">
        <f aca="false">COUNTIF(Clean_Data!$H$2:$H$500,A11)</f>
        <v>14</v>
      </c>
      <c r="C11" s="58" t="n">
        <f aca="false">IF($B$16=0,0,B11/$B$16)</f>
        <v>0.166666666666667</v>
      </c>
    </row>
    <row r="12" customFormat="false" ht="15" hidden="false" customHeight="false" outlineLevel="0" collapsed="false">
      <c r="A12" s="57" t="s">
        <v>194</v>
      </c>
      <c r="B12" s="57" t="n">
        <f aca="false">COUNTIF(Clean_Data!$H$2:$H$500,A12)</f>
        <v>11</v>
      </c>
      <c r="C12" s="58" t="n">
        <f aca="false">IF($B$16=0,0,B12/$B$16)</f>
        <v>0.130952380952381</v>
      </c>
    </row>
    <row r="13" customFormat="false" ht="15" hidden="false" customHeight="false" outlineLevel="0" collapsed="false">
      <c r="A13" s="57" t="s">
        <v>14</v>
      </c>
      <c r="B13" s="57" t="n">
        <f aca="false">COUNTIF(Clean_Data!$H$2:$H$500,A13)</f>
        <v>19</v>
      </c>
      <c r="C13" s="58" t="n">
        <f aca="false">IF($B$16=0,0,B13/$B$16)</f>
        <v>0.226190476190476</v>
      </c>
    </row>
    <row r="14" customFormat="false" ht="15" hidden="false" customHeight="false" outlineLevel="0" collapsed="false">
      <c r="A14" s="57" t="s">
        <v>195</v>
      </c>
      <c r="B14" s="57" t="n">
        <f aca="false">COUNTIF(Clean_Data!$H$2:$H$500,A14)</f>
        <v>11</v>
      </c>
      <c r="C14" s="58" t="n">
        <f aca="false">IF($B$16=0,0,B14/$B$16)</f>
        <v>0.130952380952381</v>
      </c>
    </row>
    <row r="15" customFormat="false" ht="15" hidden="false" customHeight="false" outlineLevel="0" collapsed="false">
      <c r="A15" s="57" t="s">
        <v>196</v>
      </c>
      <c r="B15" s="57" t="n">
        <f aca="false">COUNTIF(Clean_Data!$H$2:$H$500,A15)</f>
        <v>4</v>
      </c>
      <c r="C15" s="58" t="n">
        <f aca="false">IF($B$16=0,0,B15/$B$16)</f>
        <v>0.0476190476190476</v>
      </c>
    </row>
    <row r="16" customFormat="false" ht="15" hidden="false" customHeight="false" outlineLevel="0" collapsed="false">
      <c r="A16" s="59" t="s">
        <v>197</v>
      </c>
      <c r="B16" s="59" t="n">
        <f aca="false">SUM(B9:B15)</f>
        <v>84</v>
      </c>
      <c r="C16" s="60" t="n">
        <f aca="false">SUM(C9:C15)</f>
        <v>1</v>
      </c>
    </row>
    <row r="18" customFormat="false" ht="15" hidden="false" customHeight="false" outlineLevel="0" collapsed="false">
      <c r="A18" s="55" t="s">
        <v>198</v>
      </c>
    </row>
    <row r="19" customFormat="false" ht="21.75" hidden="false" customHeight="true" outlineLevel="0" collapsed="false">
      <c r="A19" s="56" t="s">
        <v>199</v>
      </c>
      <c r="B19" s="56" t="s">
        <v>12</v>
      </c>
      <c r="C19" s="56" t="s">
        <v>191</v>
      </c>
    </row>
    <row r="20" customFormat="false" ht="15" hidden="false" customHeight="false" outlineLevel="0" collapsed="false">
      <c r="A20" s="57" t="s">
        <v>64</v>
      </c>
      <c r="B20" s="57" t="n">
        <f aca="false">COUNTIF(Clean_Data!$N$2:$N$500,A20)</f>
        <v>17</v>
      </c>
      <c r="C20" s="58" t="n">
        <f aca="false">IF($B$24=0,0,B20/$B$24)</f>
        <v>0.202380952380952</v>
      </c>
    </row>
    <row r="21" customFormat="false" ht="15" hidden="false" customHeight="false" outlineLevel="0" collapsed="false">
      <c r="A21" s="57" t="s">
        <v>85</v>
      </c>
      <c r="B21" s="57" t="n">
        <f aca="false">COUNTIF(Clean_Data!$N$2:$N$500,A21)</f>
        <v>22</v>
      </c>
      <c r="C21" s="58" t="n">
        <f aca="false">IF($B$24=0,0,B21/$B$24)</f>
        <v>0.261904761904762</v>
      </c>
    </row>
    <row r="22" customFormat="false" ht="15" hidden="false" customHeight="false" outlineLevel="0" collapsed="false">
      <c r="A22" s="57" t="s">
        <v>106</v>
      </c>
      <c r="B22" s="57" t="n">
        <f aca="false">COUNTIF(Clean_Data!$N$2:$N$500,A22)</f>
        <v>25</v>
      </c>
      <c r="C22" s="58" t="n">
        <f aca="false">IF($B$24=0,0,B22/$B$24)</f>
        <v>0.297619047619048</v>
      </c>
    </row>
    <row r="23" customFormat="false" ht="15" hidden="false" customHeight="false" outlineLevel="0" collapsed="false">
      <c r="A23" s="57" t="s">
        <v>200</v>
      </c>
      <c r="B23" s="57" t="n">
        <f aca="false">COUNTIFS(Clean_Data!$A$2:$A$500,"&lt;&gt;",Clean_Data!$N$2:$N$500,"")</f>
        <v>20</v>
      </c>
      <c r="C23" s="58" t="n">
        <f aca="false">IF($B$24=0,0,B23/$B$24)</f>
        <v>0.238095238095238</v>
      </c>
    </row>
    <row r="24" customFormat="false" ht="15" hidden="false" customHeight="false" outlineLevel="0" collapsed="false">
      <c r="A24" s="59" t="s">
        <v>197</v>
      </c>
      <c r="B24" s="59" t="n">
        <f aca="false">SUM(B20:B23)</f>
        <v>84</v>
      </c>
      <c r="C24" s="60" t="n">
        <f aca="false">IF($B$24=0,0,B24/$B$24)</f>
        <v>1</v>
      </c>
    </row>
    <row r="26" customFormat="false" ht="15" hidden="false" customHeight="false" outlineLevel="0" collapsed="false">
      <c r="A26" s="55" t="s">
        <v>201</v>
      </c>
    </row>
    <row r="27" customFormat="false" ht="42" hidden="false" customHeight="true" outlineLevel="0" collapsed="false">
      <c r="A27" s="56" t="s">
        <v>11</v>
      </c>
      <c r="B27" s="56" t="s">
        <v>12</v>
      </c>
      <c r="C27" s="56" t="s">
        <v>21</v>
      </c>
      <c r="D27" s="56" t="s">
        <v>192</v>
      </c>
      <c r="E27" s="56" t="s">
        <v>193</v>
      </c>
      <c r="F27" s="56" t="s">
        <v>194</v>
      </c>
      <c r="G27" s="56" t="s">
        <v>14</v>
      </c>
      <c r="H27" s="56" t="s">
        <v>195</v>
      </c>
      <c r="I27" s="56" t="s">
        <v>196</v>
      </c>
      <c r="J27" s="56" t="s">
        <v>15</v>
      </c>
      <c r="K27" s="56" t="s">
        <v>202</v>
      </c>
      <c r="L27" s="56" t="s">
        <v>203</v>
      </c>
      <c r="M27" s="56" t="s">
        <v>204</v>
      </c>
      <c r="N27" s="56" t="s">
        <v>19</v>
      </c>
      <c r="O27" s="56" t="s">
        <v>20</v>
      </c>
      <c r="P27" s="56" t="s">
        <v>13</v>
      </c>
      <c r="Q27" s="56" t="s">
        <v>205</v>
      </c>
      <c r="R27" s="56" t="s">
        <v>206</v>
      </c>
    </row>
    <row r="28" customFormat="false" ht="15" hidden="false" customHeight="false" outlineLevel="0" collapsed="false">
      <c r="A28" s="57" t="s">
        <v>207</v>
      </c>
      <c r="B28" s="57" t="n">
        <f aca="false">COUNTIF(Clean_Data!$C$2:$C$500,$A28)</f>
        <v>20</v>
      </c>
      <c r="C28" s="57" t="n">
        <f aca="false">COUNTIFS(Clean_Data!$C$2:$C$500,$A28,Clean_Data!$H$2:$H$500,"Not Started")</f>
        <v>4</v>
      </c>
      <c r="D28" s="57" t="n">
        <f aca="false">COUNTIFS(Clean_Data!$C$2:$C$500,$A28,Clean_Data!$H$2:$H$500,"Initial Contact")</f>
        <v>3</v>
      </c>
      <c r="E28" s="57" t="n">
        <f aca="false">COUNTIFS(Clean_Data!$C$2:$C$500,$A28,Clean_Data!$H$2:$H$500,"In Discussion")</f>
        <v>4</v>
      </c>
      <c r="F28" s="57" t="n">
        <f aca="false">COUNTIFS(Clean_Data!$C$2:$C$500,$A28,Clean_Data!$H$2:$H$500,"Meeting Scheduled")</f>
        <v>3</v>
      </c>
      <c r="G28" s="57" t="n">
        <f aca="false">COUNTIFS(Clean_Data!$C$2:$C$500,$A28,Clean_Data!$H$2:$H$500,"Engaged")</f>
        <v>3</v>
      </c>
      <c r="H28" s="57" t="n">
        <f aca="false">COUNTIFS(Clean_Data!$C$2:$C$500,$A28,Clean_Data!$H$2:$H$500,"On Hold")</f>
        <v>3</v>
      </c>
      <c r="I28" s="57" t="n">
        <f aca="false">COUNTIFS(Clean_Data!$C$2:$C$500,$A28,Clean_Data!$H$2:$H$500,"Closed")</f>
        <v>0</v>
      </c>
      <c r="J28" s="58" t="n">
        <f aca="false">IF(B28=0,0,G28/B28)</f>
        <v>0.15</v>
      </c>
      <c r="K28" s="57" t="n">
        <f aca="false">COUNTIFS(Clean_Data!$C$2:$C$500,$A28,Clean_Data!$N$2:$N$500,"High")</f>
        <v>3</v>
      </c>
      <c r="L28" s="61" t="n">
        <f aca="false">IFERROR(AVERAGEIFS(Clean_Data!$M$2:$M$500,Clean_Data!$C$2:$C$500,$A28,Clean_Data!$H$2:$H$500,"&lt;&gt;Not Started"),0)</f>
        <v>6.21428571428571</v>
      </c>
      <c r="M28" s="57" t="n">
        <f aca="false">SUMIFS(Clean_Data!$S$2:$S$500,Clean_Data!$C$2:$C$500,$A28)</f>
        <v>6</v>
      </c>
      <c r="N28" s="57" t="n">
        <f aca="false">SUMIFS(Clean_Data!$T$2:$T$500,Clean_Data!$C$2:$C$500,$A28)</f>
        <v>4</v>
      </c>
      <c r="O28" s="57" t="n">
        <f aca="false">COUNTIFS(Clean_Data!$C$2:$C$500,$A28,Clean_Data!$I$2:$I$500,"")</f>
        <v>1</v>
      </c>
      <c r="P28" s="57" t="n">
        <f aca="false">B28-C28</f>
        <v>16</v>
      </c>
      <c r="Q28" s="57" t="n">
        <f aca="false">D28+E28+F28</f>
        <v>10</v>
      </c>
      <c r="R28" s="57" t="n">
        <f aca="false">H28+I28</f>
        <v>3</v>
      </c>
    </row>
    <row r="29" customFormat="false" ht="15" hidden="false" customHeight="false" outlineLevel="0" collapsed="false">
      <c r="A29" s="57" t="s">
        <v>208</v>
      </c>
      <c r="B29" s="57" t="n">
        <f aca="false">COUNTIF(Clean_Data!$C$2:$C$500,$A29)</f>
        <v>14</v>
      </c>
      <c r="C29" s="57" t="n">
        <f aca="false">COUNTIFS(Clean_Data!$C$2:$C$500,$A29,Clean_Data!$H$2:$H$500,"Not Started")</f>
        <v>1</v>
      </c>
      <c r="D29" s="57" t="n">
        <f aca="false">COUNTIFS(Clean_Data!$C$2:$C$500,$A29,Clean_Data!$H$2:$H$500,"Initial Contact")</f>
        <v>2</v>
      </c>
      <c r="E29" s="57" t="n">
        <f aca="false">COUNTIFS(Clean_Data!$C$2:$C$500,$A29,Clean_Data!$H$2:$H$500,"In Discussion")</f>
        <v>4</v>
      </c>
      <c r="F29" s="57" t="n">
        <f aca="false">COUNTIFS(Clean_Data!$C$2:$C$500,$A29,Clean_Data!$H$2:$H$500,"Meeting Scheduled")</f>
        <v>2</v>
      </c>
      <c r="G29" s="57" t="n">
        <f aca="false">COUNTIFS(Clean_Data!$C$2:$C$500,$A29,Clean_Data!$H$2:$H$500,"Engaged")</f>
        <v>3</v>
      </c>
      <c r="H29" s="57" t="n">
        <f aca="false">COUNTIFS(Clean_Data!$C$2:$C$500,$A29,Clean_Data!$H$2:$H$500,"On Hold")</f>
        <v>1</v>
      </c>
      <c r="I29" s="57" t="n">
        <f aca="false">COUNTIFS(Clean_Data!$C$2:$C$500,$A29,Clean_Data!$H$2:$H$500,"Closed")</f>
        <v>1</v>
      </c>
      <c r="J29" s="58" t="n">
        <f aca="false">IF(B29=0,0,G29/B29)</f>
        <v>0.214285714285714</v>
      </c>
      <c r="K29" s="57" t="n">
        <f aca="false">COUNTIFS(Clean_Data!$C$2:$C$500,$A29,Clean_Data!$N$2:$N$500,"High")</f>
        <v>2</v>
      </c>
      <c r="L29" s="61" t="n">
        <f aca="false">IFERROR(AVERAGEIFS(Clean_Data!$M$2:$M$500,Clean_Data!$C$2:$C$500,$A29,Clean_Data!$H$2:$H$500,"&lt;&gt;Not Started"),0)</f>
        <v>5.07692307692308</v>
      </c>
      <c r="M29" s="57" t="n">
        <f aca="false">SUMIFS(Clean_Data!$S$2:$S$500,Clean_Data!$C$2:$C$500,$A29)</f>
        <v>7</v>
      </c>
      <c r="N29" s="57" t="n">
        <f aca="false">SUMIFS(Clean_Data!$T$2:$T$500,Clean_Data!$C$2:$C$500,$A29)</f>
        <v>1</v>
      </c>
      <c r="O29" s="57" t="n">
        <f aca="false">COUNTIFS(Clean_Data!$C$2:$C$500,$A29,Clean_Data!$I$2:$I$500,"")</f>
        <v>2</v>
      </c>
      <c r="P29" s="57" t="n">
        <f aca="false">B29-C29</f>
        <v>13</v>
      </c>
      <c r="Q29" s="57" t="n">
        <f aca="false">D29+E29+F29</f>
        <v>8</v>
      </c>
      <c r="R29" s="57" t="n">
        <f aca="false">H29+I29</f>
        <v>2</v>
      </c>
    </row>
    <row r="30" customFormat="false" ht="15" hidden="false" customHeight="false" outlineLevel="0" collapsed="false">
      <c r="A30" s="57" t="s">
        <v>209</v>
      </c>
      <c r="B30" s="57" t="n">
        <f aca="false">COUNTIF(Clean_Data!$C$2:$C$500,$A30)</f>
        <v>14</v>
      </c>
      <c r="C30" s="57" t="n">
        <f aca="false">COUNTIFS(Clean_Data!$C$2:$C$500,$A30,Clean_Data!$H$2:$H$500,"Not Started")</f>
        <v>0</v>
      </c>
      <c r="D30" s="57" t="n">
        <f aca="false">COUNTIFS(Clean_Data!$C$2:$C$500,$A30,Clean_Data!$H$2:$H$500,"Initial Contact")</f>
        <v>2</v>
      </c>
      <c r="E30" s="57" t="n">
        <f aca="false">COUNTIFS(Clean_Data!$C$2:$C$500,$A30,Clean_Data!$H$2:$H$500,"In Discussion")</f>
        <v>2</v>
      </c>
      <c r="F30" s="57" t="n">
        <f aca="false">COUNTIFS(Clean_Data!$C$2:$C$500,$A30,Clean_Data!$H$2:$H$500,"Meeting Scheduled")</f>
        <v>1</v>
      </c>
      <c r="G30" s="57" t="n">
        <f aca="false">COUNTIFS(Clean_Data!$C$2:$C$500,$A30,Clean_Data!$H$2:$H$500,"Engaged")</f>
        <v>4</v>
      </c>
      <c r="H30" s="57" t="n">
        <f aca="false">COUNTIFS(Clean_Data!$C$2:$C$500,$A30,Clean_Data!$H$2:$H$500,"On Hold")</f>
        <v>3</v>
      </c>
      <c r="I30" s="57" t="n">
        <f aca="false">COUNTIFS(Clean_Data!$C$2:$C$500,$A30,Clean_Data!$H$2:$H$500,"Closed")</f>
        <v>2</v>
      </c>
      <c r="J30" s="58" t="n">
        <f aca="false">IF(B30=0,0,G30/B30)</f>
        <v>0.285714285714286</v>
      </c>
      <c r="K30" s="57" t="n">
        <f aca="false">COUNTIFS(Clean_Data!$C$2:$C$500,$A30,Clean_Data!$N$2:$N$500,"High")</f>
        <v>5</v>
      </c>
      <c r="L30" s="61" t="n">
        <f aca="false">IFERROR(AVERAGEIFS(Clean_Data!$M$2:$M$500,Clean_Data!$C$2:$C$500,$A30,Clean_Data!$H$2:$H$500,"&lt;&gt;Not Started"),0)</f>
        <v>6.23076923076923</v>
      </c>
      <c r="M30" s="57" t="n">
        <f aca="false">SUMIFS(Clean_Data!$S$2:$S$500,Clean_Data!$C$2:$C$500,$A30)</f>
        <v>2</v>
      </c>
      <c r="N30" s="57" t="n">
        <f aca="false">SUMIFS(Clean_Data!$T$2:$T$500,Clean_Data!$C$2:$C$500,$A30)</f>
        <v>1</v>
      </c>
      <c r="O30" s="57" t="n">
        <f aca="false">COUNTIFS(Clean_Data!$C$2:$C$500,$A30,Clean_Data!$I$2:$I$500,"")</f>
        <v>1</v>
      </c>
      <c r="P30" s="57" t="n">
        <f aca="false">B30-C30</f>
        <v>14</v>
      </c>
      <c r="Q30" s="57" t="n">
        <f aca="false">D30+E30+F30</f>
        <v>5</v>
      </c>
      <c r="R30" s="57" t="n">
        <f aca="false">H30+I30</f>
        <v>5</v>
      </c>
    </row>
    <row r="31" customFormat="false" ht="15" hidden="false" customHeight="false" outlineLevel="0" collapsed="false">
      <c r="A31" s="57" t="s">
        <v>210</v>
      </c>
      <c r="B31" s="57" t="n">
        <f aca="false">COUNTIF(Clean_Data!$C$2:$C$500,$A31)</f>
        <v>14</v>
      </c>
      <c r="C31" s="57" t="n">
        <f aca="false">COUNTIFS(Clean_Data!$C$2:$C$500,$A31,Clean_Data!$H$2:$H$500,"Not Started")</f>
        <v>2</v>
      </c>
      <c r="D31" s="57" t="n">
        <f aca="false">COUNTIFS(Clean_Data!$C$2:$C$500,$A31,Clean_Data!$H$2:$H$500,"Initial Contact")</f>
        <v>1</v>
      </c>
      <c r="E31" s="57" t="n">
        <f aca="false">COUNTIFS(Clean_Data!$C$2:$C$500,$A31,Clean_Data!$H$2:$H$500,"In Discussion")</f>
        <v>2</v>
      </c>
      <c r="F31" s="57" t="n">
        <f aca="false">COUNTIFS(Clean_Data!$C$2:$C$500,$A31,Clean_Data!$H$2:$H$500,"Meeting Scheduled")</f>
        <v>1</v>
      </c>
      <c r="G31" s="57" t="n">
        <f aca="false">COUNTIFS(Clean_Data!$C$2:$C$500,$A31,Clean_Data!$H$2:$H$500,"Engaged")</f>
        <v>5</v>
      </c>
      <c r="H31" s="57" t="n">
        <f aca="false">COUNTIFS(Clean_Data!$C$2:$C$500,$A31,Clean_Data!$H$2:$H$500,"On Hold")</f>
        <v>3</v>
      </c>
      <c r="I31" s="57" t="n">
        <f aca="false">COUNTIFS(Clean_Data!$C$2:$C$500,$A31,Clean_Data!$H$2:$H$500,"Closed")</f>
        <v>0</v>
      </c>
      <c r="J31" s="58" t="n">
        <f aca="false">IF(B31=0,0,G31/B31)</f>
        <v>0.357142857142857</v>
      </c>
      <c r="K31" s="57" t="n">
        <f aca="false">COUNTIFS(Clean_Data!$C$2:$C$500,$A31,Clean_Data!$N$2:$N$500,"High")</f>
        <v>5</v>
      </c>
      <c r="L31" s="61" t="n">
        <f aca="false">IFERROR(AVERAGEIFS(Clean_Data!$M$2:$M$500,Clean_Data!$C$2:$C$500,$A31,Clean_Data!$H$2:$H$500,"&lt;&gt;Not Started"),0)</f>
        <v>7.09090909090909</v>
      </c>
      <c r="M31" s="57" t="n">
        <f aca="false">SUMIFS(Clean_Data!$S$2:$S$500,Clean_Data!$C$2:$C$500,$A31)</f>
        <v>7</v>
      </c>
      <c r="N31" s="57" t="n">
        <f aca="false">SUMIFS(Clean_Data!$T$2:$T$500,Clean_Data!$C$2:$C$500,$A31)</f>
        <v>4</v>
      </c>
      <c r="O31" s="57" t="n">
        <f aca="false">COUNTIFS(Clean_Data!$C$2:$C$500,$A31,Clean_Data!$I$2:$I$500,"")</f>
        <v>2</v>
      </c>
      <c r="P31" s="57" t="n">
        <f aca="false">B31-C31</f>
        <v>12</v>
      </c>
      <c r="Q31" s="57" t="n">
        <f aca="false">D31+E31+F31</f>
        <v>4</v>
      </c>
      <c r="R31" s="57" t="n">
        <f aca="false">H31+I31</f>
        <v>3</v>
      </c>
    </row>
    <row r="32" customFormat="false" ht="15" hidden="false" customHeight="false" outlineLevel="0" collapsed="false">
      <c r="A32" s="57" t="s">
        <v>211</v>
      </c>
      <c r="B32" s="57" t="n">
        <f aca="false">COUNTIF(Clean_Data!$C$2:$C$500,$A32)</f>
        <v>14</v>
      </c>
      <c r="C32" s="57" t="n">
        <f aca="false">COUNTIFS(Clean_Data!$C$2:$C$500,$A32,Clean_Data!$H$2:$H$500,"Not Started")</f>
        <v>2</v>
      </c>
      <c r="D32" s="57" t="n">
        <f aca="false">COUNTIFS(Clean_Data!$C$2:$C$500,$A32,Clean_Data!$H$2:$H$500,"Initial Contact")</f>
        <v>4</v>
      </c>
      <c r="E32" s="57" t="n">
        <f aca="false">COUNTIFS(Clean_Data!$C$2:$C$500,$A32,Clean_Data!$H$2:$H$500,"In Discussion")</f>
        <v>1</v>
      </c>
      <c r="F32" s="57" t="n">
        <f aca="false">COUNTIFS(Clean_Data!$C$2:$C$500,$A32,Clean_Data!$H$2:$H$500,"Meeting Scheduled")</f>
        <v>3</v>
      </c>
      <c r="G32" s="57" t="n">
        <f aca="false">COUNTIFS(Clean_Data!$C$2:$C$500,$A32,Clean_Data!$H$2:$H$500,"Engaged")</f>
        <v>3</v>
      </c>
      <c r="H32" s="57" t="n">
        <f aca="false">COUNTIFS(Clean_Data!$C$2:$C$500,$A32,Clean_Data!$H$2:$H$500,"On Hold")</f>
        <v>0</v>
      </c>
      <c r="I32" s="57" t="n">
        <f aca="false">COUNTIFS(Clean_Data!$C$2:$C$500,$A32,Clean_Data!$H$2:$H$500,"Closed")</f>
        <v>1</v>
      </c>
      <c r="J32" s="58" t="n">
        <f aca="false">IF(B32=0,0,G32/B32)</f>
        <v>0.214285714285714</v>
      </c>
      <c r="K32" s="57" t="n">
        <f aca="false">COUNTIFS(Clean_Data!$C$2:$C$500,$A32,Clean_Data!$N$2:$N$500,"High")</f>
        <v>1</v>
      </c>
      <c r="L32" s="61" t="n">
        <f aca="false">IFERROR(AVERAGEIFS(Clean_Data!$M$2:$M$500,Clean_Data!$C$2:$C$500,$A32,Clean_Data!$H$2:$H$500,"&lt;&gt;Not Started"),0)</f>
        <v>5.27272727272727</v>
      </c>
      <c r="M32" s="57" t="n">
        <f aca="false">SUMIFS(Clean_Data!$S$2:$S$500,Clean_Data!$C$2:$C$500,$A32)</f>
        <v>4</v>
      </c>
      <c r="N32" s="57" t="n">
        <f aca="false">SUMIFS(Clean_Data!$T$2:$T$500,Clean_Data!$C$2:$C$500,$A32)</f>
        <v>1</v>
      </c>
      <c r="O32" s="57" t="n">
        <f aca="false">COUNTIFS(Clean_Data!$C$2:$C$500,$A32,Clean_Data!$I$2:$I$500,"")</f>
        <v>2</v>
      </c>
      <c r="P32" s="57" t="n">
        <f aca="false">B32-C32</f>
        <v>12</v>
      </c>
      <c r="Q32" s="57" t="n">
        <f aca="false">D32+E32+F32</f>
        <v>8</v>
      </c>
      <c r="R32" s="57" t="n">
        <f aca="false">H32+I32</f>
        <v>1</v>
      </c>
    </row>
    <row r="33" customFormat="false" ht="15" hidden="false" customHeight="false" outlineLevel="0" collapsed="false">
      <c r="A33" s="57" t="s">
        <v>212</v>
      </c>
      <c r="B33" s="57" t="n">
        <f aca="false">COUNTIF(Clean_Data!$C$2:$C$500,$A33)</f>
        <v>8</v>
      </c>
      <c r="C33" s="57" t="n">
        <f aca="false">COUNTIFS(Clean_Data!$C$2:$C$500,$A33,Clean_Data!$H$2:$H$500,"Not Started")</f>
        <v>1</v>
      </c>
      <c r="D33" s="57" t="n">
        <f aca="false">COUNTIFS(Clean_Data!$C$2:$C$500,$A33,Clean_Data!$H$2:$H$500,"Initial Contact")</f>
        <v>3</v>
      </c>
      <c r="E33" s="57" t="n">
        <f aca="false">COUNTIFS(Clean_Data!$C$2:$C$500,$A33,Clean_Data!$H$2:$H$500,"In Discussion")</f>
        <v>1</v>
      </c>
      <c r="F33" s="57" t="n">
        <f aca="false">COUNTIFS(Clean_Data!$C$2:$C$500,$A33,Clean_Data!$H$2:$H$500,"Meeting Scheduled")</f>
        <v>1</v>
      </c>
      <c r="G33" s="57" t="n">
        <f aca="false">COUNTIFS(Clean_Data!$C$2:$C$500,$A33,Clean_Data!$H$2:$H$500,"Engaged")</f>
        <v>1</v>
      </c>
      <c r="H33" s="57" t="n">
        <f aca="false">COUNTIFS(Clean_Data!$C$2:$C$500,$A33,Clean_Data!$H$2:$H$500,"On Hold")</f>
        <v>1</v>
      </c>
      <c r="I33" s="57" t="n">
        <f aca="false">COUNTIFS(Clean_Data!$C$2:$C$500,$A33,Clean_Data!$H$2:$H$500,"Closed")</f>
        <v>0</v>
      </c>
      <c r="J33" s="58" t="n">
        <f aca="false">IF(B33=0,0,G33/B33)</f>
        <v>0.125</v>
      </c>
      <c r="K33" s="57" t="n">
        <f aca="false">COUNTIFS(Clean_Data!$C$2:$C$500,$A33,Clean_Data!$N$2:$N$500,"High")</f>
        <v>1</v>
      </c>
      <c r="L33" s="61" t="n">
        <f aca="false">IFERROR(AVERAGEIFS(Clean_Data!$M$2:$M$500,Clean_Data!$C$2:$C$500,$A33,Clean_Data!$H$2:$H$500,"&lt;&gt;Not Started"),0)</f>
        <v>5</v>
      </c>
      <c r="M33" s="57" t="n">
        <f aca="false">SUMIFS(Clean_Data!$S$2:$S$500,Clean_Data!$C$2:$C$500,$A33)</f>
        <v>4</v>
      </c>
      <c r="N33" s="57" t="n">
        <f aca="false">SUMIFS(Clean_Data!$T$2:$T$500,Clean_Data!$C$2:$C$500,$A33)</f>
        <v>2</v>
      </c>
      <c r="O33" s="57" t="n">
        <f aca="false">COUNTIFS(Clean_Data!$C$2:$C$500,$A33,Clean_Data!$I$2:$I$500,"")</f>
        <v>0</v>
      </c>
      <c r="P33" s="57" t="n">
        <f aca="false">B33-C33</f>
        <v>7</v>
      </c>
      <c r="Q33" s="57" t="n">
        <f aca="false">D33+E33+F33</f>
        <v>5</v>
      </c>
      <c r="R33" s="57" t="n">
        <f aca="false">H33+I33</f>
        <v>1</v>
      </c>
    </row>
    <row r="34" customFormat="false" ht="15" hidden="false" customHeight="false" outlineLevel="0" collapsed="false">
      <c r="A34" s="59" t="s">
        <v>197</v>
      </c>
      <c r="B34" s="59" t="n">
        <f aca="false">SUM(B28:B33)</f>
        <v>84</v>
      </c>
      <c r="C34" s="59" t="n">
        <f aca="false">SUM(C28:C33)</f>
        <v>10</v>
      </c>
      <c r="D34" s="59" t="n">
        <f aca="false">SUM(D28:D33)</f>
        <v>15</v>
      </c>
      <c r="E34" s="59" t="n">
        <f aca="false">SUM(E28:E33)</f>
        <v>14</v>
      </c>
      <c r="F34" s="59" t="n">
        <f aca="false">SUM(F28:F33)</f>
        <v>11</v>
      </c>
      <c r="G34" s="59" t="n">
        <f aca="false">SUM(G28:G33)</f>
        <v>19</v>
      </c>
      <c r="H34" s="59" t="n">
        <f aca="false">SUM(H28:H33)</f>
        <v>11</v>
      </c>
      <c r="I34" s="59" t="n">
        <f aca="false">SUM(I28:I33)</f>
        <v>4</v>
      </c>
      <c r="J34" s="60" t="n">
        <f aca="false">IF(B34=0,0,G34/B34)</f>
        <v>0.226190476190476</v>
      </c>
      <c r="K34" s="59" t="n">
        <f aca="false">SUM(K28:K33)</f>
        <v>17</v>
      </c>
      <c r="L34" s="62" t="n">
        <f aca="false">IFERROR(AVERAGEIFS(Clean_Data!$M$2:$M$500,Clean_Data!$H$2:$H$500,"&lt;&gt;Not Started",Clean_Data!$A$2:$A$500,"&lt;&gt;"),0)</f>
        <v>5.88235294117647</v>
      </c>
      <c r="M34" s="59" t="n">
        <f aca="false">SUM(M28:M33)</f>
        <v>30</v>
      </c>
      <c r="N34" s="59" t="n">
        <f aca="false">SUM(N28:N33)</f>
        <v>13</v>
      </c>
      <c r="O34" s="59" t="n">
        <f aca="false">SUM(O28:O33)</f>
        <v>8</v>
      </c>
      <c r="P34" s="59" t="n">
        <f aca="false">SUM(P28:P33)</f>
        <v>74</v>
      </c>
      <c r="Q34" s="59" t="n">
        <f aca="false">SUM(Q28:Q33)</f>
        <v>40</v>
      </c>
      <c r="R34" s="59" t="n">
        <f aca="false">SUM(R28:R33)</f>
        <v>15</v>
      </c>
    </row>
    <row r="37" customFormat="false" ht="15" hidden="false" customHeight="false" outlineLevel="0" collapsed="false">
      <c r="A37" s="55" t="s">
        <v>213</v>
      </c>
    </row>
    <row r="38" customFormat="false" ht="42" hidden="false" customHeight="true" outlineLevel="0" collapsed="false">
      <c r="A38" s="56" t="s">
        <v>214</v>
      </c>
      <c r="B38" s="56" t="s">
        <v>12</v>
      </c>
      <c r="C38" s="56" t="s">
        <v>215</v>
      </c>
      <c r="D38" s="56" t="s">
        <v>204</v>
      </c>
      <c r="E38" s="56" t="s">
        <v>19</v>
      </c>
      <c r="F38" s="56" t="s">
        <v>216</v>
      </c>
      <c r="G38" s="56" t="s">
        <v>202</v>
      </c>
    </row>
    <row r="39" customFormat="false" ht="15" hidden="false" customHeight="false" outlineLevel="0" collapsed="false">
      <c r="A39" s="57" t="s">
        <v>217</v>
      </c>
      <c r="B39" s="57" t="n">
        <f aca="false">COUNTIF(Clean_Data!$I$2:$I$500,$A39)</f>
        <v>8</v>
      </c>
      <c r="C39" s="57" t="n">
        <f aca="false">SUMIFS(Clean_Data!$Q$2:$Q$500,Clean_Data!$I$2:$I$500,$A39)</f>
        <v>5</v>
      </c>
      <c r="D39" s="57" t="n">
        <f aca="false">SUMIFS(Clean_Data!$S$2:$S$500,Clean_Data!$I$2:$I$500,$A39)</f>
        <v>2</v>
      </c>
      <c r="E39" s="57" t="n">
        <f aca="false">SUMIFS(Clean_Data!$T$2:$T$500,Clean_Data!$I$2:$I$500,$A39)</f>
        <v>1</v>
      </c>
      <c r="F39" s="63" t="n">
        <f aca="false">IFERROR(AVERAGEIFS(Clean_Data!$R$2:$R$500,Clean_Data!$I$2:$I$500,$A39),0)</f>
        <v>93.5</v>
      </c>
      <c r="G39" s="57" t="n">
        <f aca="false">COUNTIFS(Clean_Data!$I$2:$I$500,$A39,Clean_Data!$N$2:$N$500,"High")</f>
        <v>1</v>
      </c>
    </row>
    <row r="40" customFormat="false" ht="15" hidden="false" customHeight="false" outlineLevel="0" collapsed="false">
      <c r="A40" s="57" t="s">
        <v>218</v>
      </c>
      <c r="B40" s="57" t="n">
        <f aca="false">COUNTIF(Clean_Data!$I$2:$I$500,$A40)</f>
        <v>13</v>
      </c>
      <c r="C40" s="57" t="n">
        <f aca="false">SUMIFS(Clean_Data!$Q$2:$Q$500,Clean_Data!$I$2:$I$500,$A40)</f>
        <v>9</v>
      </c>
      <c r="D40" s="57" t="n">
        <f aca="false">SUMIFS(Clean_Data!$S$2:$S$500,Clean_Data!$I$2:$I$500,$A40)</f>
        <v>1</v>
      </c>
      <c r="E40" s="57" t="n">
        <f aca="false">SUMIFS(Clean_Data!$T$2:$T$500,Clean_Data!$I$2:$I$500,$A40)</f>
        <v>0</v>
      </c>
      <c r="F40" s="63" t="n">
        <f aca="false">IFERROR(AVERAGEIFS(Clean_Data!$R$2:$R$500,Clean_Data!$I$2:$I$500,$A40),0)</f>
        <v>89.4</v>
      </c>
      <c r="G40" s="57" t="n">
        <f aca="false">COUNTIFS(Clean_Data!$I$2:$I$500,$A40,Clean_Data!$N$2:$N$500,"High")</f>
        <v>3</v>
      </c>
    </row>
    <row r="41" customFormat="false" ht="15" hidden="false" customHeight="false" outlineLevel="0" collapsed="false">
      <c r="A41" s="57" t="s">
        <v>219</v>
      </c>
      <c r="B41" s="57" t="n">
        <f aca="false">COUNTIF(Clean_Data!$I$2:$I$500,$A41)</f>
        <v>14</v>
      </c>
      <c r="C41" s="57" t="n">
        <f aca="false">SUMIFS(Clean_Data!$Q$2:$Q$500,Clean_Data!$I$2:$I$500,$A41)</f>
        <v>11</v>
      </c>
      <c r="D41" s="57" t="n">
        <f aca="false">SUMIFS(Clean_Data!$S$2:$S$500,Clean_Data!$I$2:$I$500,$A41)</f>
        <v>8</v>
      </c>
      <c r="E41" s="57" t="n">
        <f aca="false">SUMIFS(Clean_Data!$T$2:$T$500,Clean_Data!$I$2:$I$500,$A41)</f>
        <v>2</v>
      </c>
      <c r="F41" s="63" t="n">
        <f aca="false">IFERROR(AVERAGEIFS(Clean_Data!$R$2:$R$500,Clean_Data!$I$2:$I$500,$A41),0)</f>
        <v>89.0769230769231</v>
      </c>
      <c r="G41" s="57" t="n">
        <f aca="false">COUNTIFS(Clean_Data!$I$2:$I$500,$A41,Clean_Data!$N$2:$N$500,"High")</f>
        <v>5</v>
      </c>
    </row>
    <row r="42" customFormat="false" ht="15" hidden="false" customHeight="false" outlineLevel="0" collapsed="false">
      <c r="A42" s="57" t="s">
        <v>220</v>
      </c>
      <c r="B42" s="57" t="n">
        <f aca="false">COUNTIF(Clean_Data!$I$2:$I$500,$A42)</f>
        <v>14</v>
      </c>
      <c r="C42" s="57" t="n">
        <f aca="false">SUMIFS(Clean_Data!$Q$2:$Q$500,Clean_Data!$I$2:$I$500,$A42)</f>
        <v>11</v>
      </c>
      <c r="D42" s="57" t="n">
        <f aca="false">SUMIFS(Clean_Data!$S$2:$S$500,Clean_Data!$I$2:$I$500,$A42)</f>
        <v>6</v>
      </c>
      <c r="E42" s="57" t="n">
        <f aca="false">SUMIFS(Clean_Data!$T$2:$T$500,Clean_Data!$I$2:$I$500,$A42)</f>
        <v>3</v>
      </c>
      <c r="F42" s="63" t="n">
        <f aca="false">IFERROR(AVERAGEIFS(Clean_Data!$R$2:$R$500,Clean_Data!$I$2:$I$500,$A42),0)</f>
        <v>116.6</v>
      </c>
      <c r="G42" s="57" t="n">
        <f aca="false">COUNTIFS(Clean_Data!$I$2:$I$500,$A42,Clean_Data!$N$2:$N$500,"High")</f>
        <v>2</v>
      </c>
    </row>
    <row r="43" customFormat="false" ht="15" hidden="false" customHeight="false" outlineLevel="0" collapsed="false">
      <c r="A43" s="57" t="s">
        <v>221</v>
      </c>
      <c r="B43" s="57" t="n">
        <f aca="false">COUNTIF(Clean_Data!$I$2:$I$500,$A43)</f>
        <v>14</v>
      </c>
      <c r="C43" s="57" t="n">
        <f aca="false">SUMIFS(Clean_Data!$Q$2:$Q$500,Clean_Data!$I$2:$I$500,$A43)</f>
        <v>9</v>
      </c>
      <c r="D43" s="57" t="n">
        <f aca="false">SUMIFS(Clean_Data!$S$2:$S$500,Clean_Data!$I$2:$I$500,$A43)</f>
        <v>6</v>
      </c>
      <c r="E43" s="57" t="n">
        <f aca="false">SUMIFS(Clean_Data!$T$2:$T$500,Clean_Data!$I$2:$I$500,$A43)</f>
        <v>2</v>
      </c>
      <c r="F43" s="63" t="n">
        <f aca="false">IFERROR(AVERAGEIFS(Clean_Data!$R$2:$R$500,Clean_Data!$I$2:$I$500,$A43),0)</f>
        <v>93.5</v>
      </c>
      <c r="G43" s="57" t="n">
        <f aca="false">COUNTIFS(Clean_Data!$I$2:$I$500,$A43,Clean_Data!$N$2:$N$500,"High")</f>
        <v>4</v>
      </c>
    </row>
    <row r="44" customFormat="false" ht="15" hidden="false" customHeight="false" outlineLevel="0" collapsed="false">
      <c r="A44" s="57" t="s">
        <v>222</v>
      </c>
      <c r="B44" s="57" t="n">
        <f aca="false">COUNTIF(Clean_Data!$I$2:$I$500,$A44)</f>
        <v>13</v>
      </c>
      <c r="C44" s="57" t="n">
        <f aca="false">SUMIFS(Clean_Data!$Q$2:$Q$500,Clean_Data!$I$2:$I$500,$A44)</f>
        <v>9</v>
      </c>
      <c r="D44" s="57" t="n">
        <f aca="false">SUMIFS(Clean_Data!$S$2:$S$500,Clean_Data!$I$2:$I$500,$A44)</f>
        <v>5</v>
      </c>
      <c r="E44" s="57" t="n">
        <f aca="false">SUMIFS(Clean_Data!$T$2:$T$500,Clean_Data!$I$2:$I$500,$A44)</f>
        <v>4</v>
      </c>
      <c r="F44" s="63" t="n">
        <f aca="false">IFERROR(AVERAGEIFS(Clean_Data!$R$2:$R$500,Clean_Data!$I$2:$I$500,$A44),0)</f>
        <v>82.75</v>
      </c>
      <c r="G44" s="57" t="n">
        <f aca="false">COUNTIFS(Clean_Data!$I$2:$I$500,$A44,Clean_Data!$N$2:$N$500,"High")</f>
        <v>2</v>
      </c>
    </row>
    <row r="45" customFormat="false" ht="15" hidden="false" customHeight="false" outlineLevel="0" collapsed="false">
      <c r="A45" s="57" t="s">
        <v>223</v>
      </c>
      <c r="B45" s="57" t="n">
        <f aca="false">COUNTIFS(Clean_Data!$A$2:$A$500,"&lt;&gt;",Clean_Data!$I$2:$I$500,"")</f>
        <v>8</v>
      </c>
      <c r="C45" s="57" t="n">
        <f aca="false">SUMIFS(Clean_Data!$Q$2:$Q$500,Clean_Data!$A$2:$A$500,"&lt;&gt;",Clean_Data!$I$2:$I$500,"")</f>
        <v>5</v>
      </c>
      <c r="D45" s="57" t="n">
        <f aca="false">SUMIFS(Clean_Data!$S$2:$S$500,Clean_Data!$A$2:$A$500,"&lt;&gt;",Clean_Data!$I$2:$I$500,"")</f>
        <v>2</v>
      </c>
      <c r="E45" s="57" t="n">
        <f aca="false">SUMIFS(Clean_Data!$T$2:$T$500,Clean_Data!$A$2:$A$500,"&lt;&gt;",Clean_Data!$I$2:$I$500,"")</f>
        <v>1</v>
      </c>
      <c r="F45" s="63" t="n">
        <f aca="false">IFERROR(AVERAGEIFS(Clean_Data!$R$2:$R$500,Clean_Data!$A$2:$A$500,"&lt;&gt;",Clean_Data!$I$2:$I$500,""),0)</f>
        <v>37.4</v>
      </c>
      <c r="G45" s="57" t="n">
        <f aca="false">COUNTIFS(Clean_Data!$A$2:$A$500,"&lt;&gt;",Clean_Data!$I$2:$I$500,"",Clean_Data!$N$2:$N$500,"High")</f>
        <v>0</v>
      </c>
    </row>
    <row r="46" customFormat="false" ht="15" hidden="false" customHeight="false" outlineLevel="0" collapsed="false">
      <c r="A46" s="59" t="s">
        <v>197</v>
      </c>
      <c r="B46" s="59" t="n">
        <f aca="false">SUM(B39:B45)</f>
        <v>84</v>
      </c>
      <c r="C46" s="59" t="n">
        <f aca="false">SUM(C39:C45)</f>
        <v>59</v>
      </c>
      <c r="D46" s="59" t="n">
        <f aca="false">SUM(D39:D45)</f>
        <v>30</v>
      </c>
      <c r="E46" s="59" t="n">
        <f aca="false">SUM(E39:E45)</f>
        <v>13</v>
      </c>
      <c r="F46" s="64" t="n">
        <f aca="false">IFERROR(AVERAGE(Clean_Data!$R$2:$R$500),0)</f>
        <v>89.5428571428571</v>
      </c>
      <c r="G46" s="59" t="n">
        <f aca="false">SUM(G39:G45)</f>
        <v>17</v>
      </c>
    </row>
    <row r="49" customFormat="false" ht="15" hidden="false" customHeight="false" outlineLevel="0" collapsed="false">
      <c r="A49" s="55" t="s">
        <v>224</v>
      </c>
    </row>
    <row r="50" customFormat="false" ht="21.75" hidden="false" customHeight="true" outlineLevel="0" collapsed="false">
      <c r="A50" s="56" t="s">
        <v>225</v>
      </c>
      <c r="B50" s="56" t="s">
        <v>12</v>
      </c>
      <c r="C50" s="56" t="s">
        <v>226</v>
      </c>
    </row>
    <row r="51" customFormat="false" ht="15" hidden="false" customHeight="false" outlineLevel="0" collapsed="false">
      <c r="A51" s="57" t="s">
        <v>97</v>
      </c>
      <c r="B51" s="57" t="n">
        <f aca="false">COUNTIF(Clean_Data!$O$2:$O$500,A51)</f>
        <v>24</v>
      </c>
      <c r="C51" s="58" t="n">
        <f aca="false">IF($B$57=0,0,B51/$B$57)</f>
        <v>0.324324324324324</v>
      </c>
    </row>
    <row r="52" customFormat="false" ht="15" hidden="false" customHeight="false" outlineLevel="0" collapsed="false">
      <c r="A52" s="57" t="s">
        <v>105</v>
      </c>
      <c r="B52" s="57" t="n">
        <f aca="false">COUNTIF(Clean_Data!$O$2:$O$500,A52)</f>
        <v>13</v>
      </c>
      <c r="C52" s="58" t="n">
        <f aca="false">IF($B$57=0,0,B52/$B$57)</f>
        <v>0.175675675675676</v>
      </c>
    </row>
    <row r="53" customFormat="false" ht="15" hidden="false" customHeight="false" outlineLevel="0" collapsed="false">
      <c r="A53" s="57" t="s">
        <v>227</v>
      </c>
      <c r="B53" s="57" t="n">
        <f aca="false">COUNTIF(Clean_Data!$O$2:$O$500,A53)</f>
        <v>14</v>
      </c>
      <c r="C53" s="58" t="n">
        <f aca="false">IF($B$57=0,0,B53/$B$57)</f>
        <v>0.189189189189189</v>
      </c>
    </row>
    <row r="54" customFormat="false" ht="15" hidden="false" customHeight="false" outlineLevel="0" collapsed="false">
      <c r="A54" s="57" t="s">
        <v>228</v>
      </c>
      <c r="B54" s="57" t="n">
        <f aca="false">COUNTIF(Clean_Data!$O$2:$O$500,A54)</f>
        <v>11</v>
      </c>
      <c r="C54" s="58" t="n">
        <f aca="false">IF($B$57=0,0,B54/$B$57)</f>
        <v>0.148648648648649</v>
      </c>
    </row>
    <row r="55" customFormat="false" ht="15" hidden="false" customHeight="false" outlineLevel="0" collapsed="false">
      <c r="A55" s="57" t="s">
        <v>229</v>
      </c>
      <c r="B55" s="57" t="n">
        <f aca="false">COUNTIF(Clean_Data!$O$2:$O$500,A55)</f>
        <v>12</v>
      </c>
      <c r="C55" s="58" t="n">
        <f aca="false">IF($B$57=0,0,B55/$B$57)</f>
        <v>0.162162162162162</v>
      </c>
    </row>
    <row r="56" customFormat="false" ht="15" hidden="false" customHeight="false" outlineLevel="0" collapsed="false">
      <c r="A56" s="57" t="s">
        <v>230</v>
      </c>
      <c r="B56" s="57" t="n">
        <f aca="false">COUNTIFS(Clean_Data!$A$2:$A$500,"&lt;&gt;",Clean_Data!$O$2:$O$500,"",Clean_Data!$H$2:$H$500,"&lt;&gt;Not Started")</f>
        <v>0</v>
      </c>
      <c r="C56" s="58" t="n">
        <f aca="false">IF($B$57=0,0,B56/$B$57)</f>
        <v>0</v>
      </c>
    </row>
    <row r="57" customFormat="false" ht="15" hidden="false" customHeight="false" outlineLevel="0" collapsed="false">
      <c r="A57" s="59" t="s">
        <v>231</v>
      </c>
      <c r="B57" s="59" t="n">
        <f aca="false">SUM(B51:B56)</f>
        <v>74</v>
      </c>
      <c r="C57" s="60" t="n">
        <f aca="false">IF($B$57=0,0,B57/$B$57)</f>
        <v>1</v>
      </c>
    </row>
    <row r="59" customFormat="false" ht="15" hidden="false" customHeight="false" outlineLevel="0" collapsed="false">
      <c r="A59" s="55" t="s">
        <v>232</v>
      </c>
    </row>
    <row r="60" customFormat="false" ht="30" hidden="false" customHeight="true" outlineLevel="0" collapsed="false">
      <c r="A60" s="56" t="s">
        <v>233</v>
      </c>
      <c r="B60" s="56" t="s">
        <v>234</v>
      </c>
      <c r="C60" s="56" t="s">
        <v>235</v>
      </c>
    </row>
    <row r="61" customFormat="false" ht="15" hidden="false" customHeight="false" outlineLevel="0" collapsed="false">
      <c r="A61" s="65" t="n">
        <f aca="false">DATE(YEAR(Analysis!$B$3),MONTH(Analysis!$B$3)-11,1)</f>
        <v>45962</v>
      </c>
      <c r="B61" s="57" t="n">
        <f aca="false">COUNTIFS(Clean_Data!$K$2:$K$500,"&gt;="&amp;A61,Clean_Data!$K$2:$K$500,"&lt;"&amp;EDATE(A61,1))</f>
        <v>1</v>
      </c>
      <c r="C61" s="57" t="str">
        <f aca="false">TEXT(A61,"mmm-yy")</f>
        <v>Nov-25</v>
      </c>
    </row>
    <row r="62" customFormat="false" ht="15" hidden="false" customHeight="false" outlineLevel="0" collapsed="false">
      <c r="A62" s="65" t="n">
        <f aca="false">EDATE(A61,1)</f>
        <v>45992</v>
      </c>
      <c r="B62" s="57" t="n">
        <f aca="false">COUNTIFS(Clean_Data!$K$2:$K$500,"&gt;="&amp;A62,Clean_Data!$K$2:$K$500,"&lt;"&amp;EDATE(A62,1))</f>
        <v>1</v>
      </c>
      <c r="C62" s="57" t="str">
        <f aca="false">TEXT(A62,"mmm-yy")</f>
        <v>Dec-25</v>
      </c>
    </row>
    <row r="63" customFormat="false" ht="15" hidden="false" customHeight="false" outlineLevel="0" collapsed="false">
      <c r="A63" s="65" t="n">
        <f aca="false">EDATE(A62,1)</f>
        <v>46023</v>
      </c>
      <c r="B63" s="57" t="n">
        <f aca="false">COUNTIFS(Clean_Data!$K$2:$K$500,"&gt;="&amp;A63,Clean_Data!$K$2:$K$500,"&lt;"&amp;EDATE(A63,1))</f>
        <v>0</v>
      </c>
      <c r="C63" s="57" t="str">
        <f aca="false">TEXT(A63,"mmm-yy")</f>
        <v>Jan-26</v>
      </c>
    </row>
    <row r="64" customFormat="false" ht="15" hidden="false" customHeight="false" outlineLevel="0" collapsed="false">
      <c r="A64" s="65" t="n">
        <f aca="false">EDATE(A63,1)</f>
        <v>46054</v>
      </c>
      <c r="B64" s="57" t="n">
        <f aca="false">COUNTIFS(Clean_Data!$K$2:$K$500,"&gt;="&amp;A64,Clean_Data!$K$2:$K$500,"&lt;"&amp;EDATE(A64,1))</f>
        <v>6</v>
      </c>
      <c r="C64" s="57" t="str">
        <f aca="false">TEXT(A64,"mmm-yy")</f>
        <v>Feb-26</v>
      </c>
    </row>
    <row r="65" customFormat="false" ht="15" hidden="false" customHeight="false" outlineLevel="0" collapsed="false">
      <c r="A65" s="65" t="n">
        <f aca="false">EDATE(A64,1)</f>
        <v>46082</v>
      </c>
      <c r="B65" s="57" t="n">
        <f aca="false">COUNTIFS(Clean_Data!$K$2:$K$500,"&gt;="&amp;A65,Clean_Data!$K$2:$K$500,"&lt;"&amp;EDATE(A65,1))</f>
        <v>3</v>
      </c>
      <c r="C65" s="57" t="str">
        <f aca="false">TEXT(A65,"mmm-yy")</f>
        <v>Mar-26</v>
      </c>
    </row>
    <row r="66" customFormat="false" ht="15" hidden="false" customHeight="false" outlineLevel="0" collapsed="false">
      <c r="A66" s="65" t="n">
        <f aca="false">EDATE(A65,1)</f>
        <v>46113</v>
      </c>
      <c r="B66" s="57" t="n">
        <f aca="false">COUNTIFS(Clean_Data!$K$2:$K$500,"&gt;="&amp;A66,Clean_Data!$K$2:$K$500,"&lt;"&amp;EDATE(A66,1))</f>
        <v>0</v>
      </c>
      <c r="C66" s="57" t="str">
        <f aca="false">TEXT(A66,"mmm-yy")</f>
        <v>Apr-26</v>
      </c>
    </row>
    <row r="67" customFormat="false" ht="15" hidden="false" customHeight="false" outlineLevel="0" collapsed="false">
      <c r="A67" s="65" t="n">
        <f aca="false">EDATE(A66,1)</f>
        <v>46143</v>
      </c>
      <c r="B67" s="57" t="n">
        <f aca="false">COUNTIFS(Clean_Data!$K$2:$K$500,"&gt;="&amp;A67,Clean_Data!$K$2:$K$500,"&lt;"&amp;EDATE(A67,1))</f>
        <v>4</v>
      </c>
      <c r="C67" s="57" t="str">
        <f aca="false">TEXT(A67,"mmm-yy")</f>
        <v>May-26</v>
      </c>
    </row>
    <row r="68" customFormat="false" ht="15" hidden="false" customHeight="false" outlineLevel="0" collapsed="false">
      <c r="A68" s="65" t="n">
        <f aca="false">EDATE(A67,1)</f>
        <v>46174</v>
      </c>
      <c r="B68" s="57" t="n">
        <f aca="false">COUNTIFS(Clean_Data!$K$2:$K$500,"&gt;="&amp;A68,Clean_Data!$K$2:$K$500,"&lt;"&amp;EDATE(A68,1))</f>
        <v>3</v>
      </c>
      <c r="C68" s="57" t="str">
        <f aca="false">TEXT(A68,"mmm-yy")</f>
        <v>Jun-26</v>
      </c>
    </row>
    <row r="69" customFormat="false" ht="15" hidden="false" customHeight="false" outlineLevel="0" collapsed="false">
      <c r="A69" s="65" t="n">
        <f aca="false">EDATE(A68,1)</f>
        <v>46204</v>
      </c>
      <c r="B69" s="57" t="n">
        <f aca="false">COUNTIFS(Clean_Data!$K$2:$K$500,"&gt;="&amp;A69,Clean_Data!$K$2:$K$500,"&lt;"&amp;EDATE(A69,1))</f>
        <v>11</v>
      </c>
      <c r="C69" s="57" t="str">
        <f aca="false">TEXT(A69,"mmm-yy")</f>
        <v>Jul-26</v>
      </c>
    </row>
    <row r="70" customFormat="false" ht="15" hidden="false" customHeight="false" outlineLevel="0" collapsed="false">
      <c r="A70" s="65" t="n">
        <f aca="false">EDATE(A69,1)</f>
        <v>46235</v>
      </c>
      <c r="B70" s="57" t="n">
        <f aca="false">COUNTIFS(Clean_Data!$K$2:$K$500,"&gt;="&amp;A70,Clean_Data!$K$2:$K$500,"&lt;"&amp;EDATE(A70,1))</f>
        <v>11</v>
      </c>
      <c r="C70" s="57" t="str">
        <f aca="false">TEXT(A70,"mmm-yy")</f>
        <v>Aug-26</v>
      </c>
    </row>
    <row r="71" customFormat="false" ht="15" hidden="false" customHeight="false" outlineLevel="0" collapsed="false">
      <c r="A71" s="65" t="n">
        <f aca="false">EDATE(A70,1)</f>
        <v>46266</v>
      </c>
      <c r="B71" s="57" t="n">
        <f aca="false">COUNTIFS(Clean_Data!$K$2:$K$500,"&gt;="&amp;A71,Clean_Data!$K$2:$K$500,"&lt;"&amp;EDATE(A71,1))</f>
        <v>26</v>
      </c>
      <c r="C71" s="57" t="str">
        <f aca="false">TEXT(A71,"mmm-yy")</f>
        <v>Sep-26</v>
      </c>
    </row>
    <row r="72" customFormat="false" ht="15" hidden="false" customHeight="false" outlineLevel="0" collapsed="false">
      <c r="A72" s="65" t="n">
        <f aca="false">EDATE(A71,1)</f>
        <v>46296</v>
      </c>
      <c r="B72" s="57" t="n">
        <f aca="false">COUNTIFS(Clean_Data!$K$2:$K$500,"&gt;="&amp;A72,Clean_Data!$K$2:$K$500,"&lt;"&amp;EDATE(A72,1))</f>
        <v>2</v>
      </c>
      <c r="C72" s="57" t="str">
        <f aca="false">TEXT(A72,"mmm-yy")</f>
        <v>Oct-26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9" min="7" style="0" width="18"/>
    <col collapsed="false" customWidth="true" hidden="false" outlineLevel="0" max="12" min="10" style="0" width="14"/>
    <col collapsed="false" customWidth="true" hidden="false" outlineLevel="0" max="14" min="13" style="0" width="12"/>
    <col collapsed="false" customWidth="true" hidden="false" outlineLevel="0" max="15" min="15" style="0" width="15"/>
    <col collapsed="false" customWidth="true" hidden="false" outlineLevel="0" max="16" min="16" style="0" width="34"/>
    <col collapsed="false" customWidth="true" hidden="false" outlineLevel="0" max="17" min="17" style="0" width="10"/>
    <col collapsed="false" customWidth="true" hidden="false" outlineLevel="0" max="19" min="18" style="0" width="12"/>
    <col collapsed="false" customWidth="true" hidden="false" outlineLevel="0" max="20" min="20" style="0" width="9"/>
    <col collapsed="false" customWidth="true" hidden="false" outlineLevel="0" max="21" min="21" style="0" width="12"/>
    <col collapsed="false" customWidth="true" hidden="false" outlineLevel="0" max="23" min="22" style="0" width="10"/>
    <col collapsed="false" customWidth="true" hidden="false" outlineLevel="0" max="26" min="24" style="0" width="14"/>
    <col collapsed="false" customWidth="true" hidden="false" outlineLevel="0" max="27" min="27" style="0" width="10"/>
    <col collapsed="false" customWidth="true" hidden="false" outlineLevel="0" max="28" min="28" style="0" width="52"/>
  </cols>
  <sheetData>
    <row r="1" customFormat="false" ht="42" hidden="false" customHeight="true" outlineLevel="0" collapsed="false">
      <c r="A1" s="41" t="s">
        <v>68</v>
      </c>
      <c r="B1" s="41" t="s">
        <v>236</v>
      </c>
      <c r="C1" s="41" t="s">
        <v>11</v>
      </c>
      <c r="D1" s="41" t="s">
        <v>237</v>
      </c>
      <c r="E1" s="41" t="s">
        <v>238</v>
      </c>
      <c r="F1" s="41" t="s">
        <v>97</v>
      </c>
      <c r="G1" s="41" t="s">
        <v>105</v>
      </c>
      <c r="H1" s="41" t="s">
        <v>190</v>
      </c>
      <c r="I1" s="41" t="s">
        <v>214</v>
      </c>
      <c r="J1" s="41" t="s">
        <v>239</v>
      </c>
      <c r="K1" s="41" t="s">
        <v>240</v>
      </c>
      <c r="L1" s="41" t="s">
        <v>241</v>
      </c>
      <c r="M1" s="41" t="s">
        <v>125</v>
      </c>
      <c r="N1" s="41" t="s">
        <v>199</v>
      </c>
      <c r="O1" s="41" t="s">
        <v>225</v>
      </c>
      <c r="P1" s="41" t="s">
        <v>242</v>
      </c>
      <c r="Q1" s="56" t="s">
        <v>243</v>
      </c>
      <c r="R1" s="56" t="s">
        <v>244</v>
      </c>
      <c r="S1" s="56" t="s">
        <v>245</v>
      </c>
      <c r="T1" s="56" t="s">
        <v>246</v>
      </c>
      <c r="U1" s="56" t="s">
        <v>247</v>
      </c>
      <c r="V1" s="56" t="s">
        <v>248</v>
      </c>
      <c r="W1" s="56" t="s">
        <v>249</v>
      </c>
      <c r="X1" s="56" t="s">
        <v>250</v>
      </c>
      <c r="Y1" s="56" t="s">
        <v>251</v>
      </c>
      <c r="Z1" s="56" t="s">
        <v>252</v>
      </c>
      <c r="AA1" s="56" t="s">
        <v>253</v>
      </c>
      <c r="AB1" s="56" t="s">
        <v>254</v>
      </c>
      <c r="AD1" s="53" t="s">
        <v>255</v>
      </c>
    </row>
    <row r="2" customFormat="false" ht="15" hidden="false" customHeight="false" outlineLevel="0" collapsed="false">
      <c r="A2" s="66" t="s">
        <v>256</v>
      </c>
      <c r="B2" s="66" t="s">
        <v>257</v>
      </c>
      <c r="C2" s="66" t="s">
        <v>207</v>
      </c>
      <c r="D2" s="66" t="s">
        <v>258</v>
      </c>
      <c r="E2" s="66" t="s">
        <v>259</v>
      </c>
      <c r="F2" s="66" t="s">
        <v>260</v>
      </c>
      <c r="G2" s="66" t="s">
        <v>261</v>
      </c>
      <c r="H2" s="66" t="s">
        <v>21</v>
      </c>
      <c r="I2" s="66" t="s">
        <v>221</v>
      </c>
      <c r="J2" s="67"/>
      <c r="K2" s="67"/>
      <c r="L2" s="67"/>
      <c r="M2" s="66" t="n">
        <v>0</v>
      </c>
      <c r="N2" s="66"/>
      <c r="O2" s="66"/>
      <c r="P2" s="66" t="s">
        <v>262</v>
      </c>
      <c r="Q2" s="66" t="n">
        <f aca="false">IF(OR(H2="Initial Contact",H2="In Discussion",H2="Meeting Scheduled",H2="Engaged"),1,0)</f>
        <v>0</v>
      </c>
      <c r="R2" s="66" t="str">
        <f aca="false">IF(OR(K2="",K2&gt;Analysis!$B$3),"",Analysis!$B$3-K2)</f>
        <v/>
      </c>
      <c r="S2" s="66" t="n">
        <f aca="false">IF(AND(Q2=1,L2&lt;&gt;"",L2&lt;Analysis!$B$3),1,0)</f>
        <v>0</v>
      </c>
      <c r="T2" s="66" t="n">
        <f aca="false">IF(Q2=1,IF(R2="",0,IF(R2&gt;Analysis!$B$4,1,0)),0)</f>
        <v>0</v>
      </c>
      <c r="U2" s="66" t="n">
        <f aca="false">IF(AND(Q2=1,L2=""),1,0)</f>
        <v>0</v>
      </c>
      <c r="V2" s="66" t="str">
        <f aca="false">IF(TRIM(F2)="","Missing",IF(IFERROR(FIND(".",F2,FIND("@",F2)),0)&gt;0,"Valid","Invalid"))</f>
        <v>Valid</v>
      </c>
      <c r="W2" s="66" t="str">
        <f aca="false">IF(TRIM(G2)="","Missing",IF(OR(AND(LEFT(G2,4)="+91 ",LEN(G2)=15),AND(LEFT(G2,7)="+91 11 ",LEN(G2)=16)),"Valid","Invalid"))</f>
        <v>Valid</v>
      </c>
      <c r="X2" s="66" t="n">
        <f aca="false">IF(AND(J2&lt;&gt;"",K2&lt;&gt;"",K2&lt;J2),1,0)</f>
        <v>0</v>
      </c>
      <c r="Y2" s="66" t="n">
        <f aca="false">IF(AND(K2&lt;&gt;"",K2&gt;Analysis!$B$3),1,0)</f>
        <v>0</v>
      </c>
      <c r="Z2" s="66" t="n">
        <f aca="false">IF(AND(Q2=1,ISNUMBER(SEARCH("declin",P2))),1,0)</f>
        <v>0</v>
      </c>
      <c r="AA2" s="66" t="n">
        <f aca="false">IF(Q2=1,S2*2+T2*2+U2+IF(I2="",1,0)+IF(N2="High",2,IF(N2="Medium",1,0)),0)</f>
        <v>0</v>
      </c>
      <c r="AB2" s="66" t="str">
        <f aca="false">IF(Q2=0,"",TRIM(IF(S2=1,"Follow-up overdue. ","")&amp;IF(T2=1,"No contact "&amp;Analysis!$B$4&amp;"+ days. ","")&amp;IF(U2=1,"No follow-up date. ","")&amp;IF(I2="","No owner. ","")&amp;IF(Z2=1,"Remarks conflict with status. ","")&amp;IF(X2=1,"Date error (last &lt; first). ","")&amp;IF(Y2=1,"Future-dated contact. ","")))</f>
        <v/>
      </c>
    </row>
    <row r="3" customFormat="false" ht="15" hidden="false" customHeight="false" outlineLevel="0" collapsed="false">
      <c r="A3" s="66" t="s">
        <v>43</v>
      </c>
      <c r="B3" s="66" t="s">
        <v>263</v>
      </c>
      <c r="C3" s="66" t="s">
        <v>207</v>
      </c>
      <c r="D3" s="66" t="s">
        <v>264</v>
      </c>
      <c r="E3" s="66" t="s">
        <v>265</v>
      </c>
      <c r="F3" s="66" t="s">
        <v>266</v>
      </c>
      <c r="G3" s="66" t="s">
        <v>267</v>
      </c>
      <c r="H3" s="66" t="s">
        <v>192</v>
      </c>
      <c r="I3" s="66" t="s">
        <v>219</v>
      </c>
      <c r="J3" s="67" t="n">
        <v>46057</v>
      </c>
      <c r="K3" s="67" t="n">
        <v>46078</v>
      </c>
      <c r="L3" s="67" t="n">
        <v>46132</v>
      </c>
      <c r="M3" s="66" t="n">
        <v>1</v>
      </c>
      <c r="N3" s="66" t="s">
        <v>106</v>
      </c>
      <c r="O3" s="66" t="s">
        <v>97</v>
      </c>
      <c r="P3" s="66" t="s">
        <v>268</v>
      </c>
      <c r="Q3" s="66" t="n">
        <f aca="false">IF(OR(H3="Initial Contact",H3="In Discussion",H3="Meeting Scheduled",H3="Engaged"),1,0)</f>
        <v>1</v>
      </c>
      <c r="R3" s="66" t="n">
        <f aca="false">IF(OR(K3="",K3&gt;Analysis!$B$3),"",Analysis!$B$3-K3)</f>
        <v>222</v>
      </c>
      <c r="S3" s="66" t="n">
        <f aca="false">IF(AND(Q3=1,L3&lt;&gt;"",L3&lt;Analysis!$B$3),1,0)</f>
        <v>1</v>
      </c>
      <c r="T3" s="66" t="n">
        <f aca="false">IF(Q3=1,IF(R3="",0,IF(R3&gt;Analysis!$B$4,1,0)),0)</f>
        <v>1</v>
      </c>
      <c r="U3" s="66" t="n">
        <f aca="false">IF(AND(Q3=1,L3=""),1,0)</f>
        <v>0</v>
      </c>
      <c r="V3" s="66" t="str">
        <f aca="false">IF(TRIM(F3)="","Missing",IF(IFERROR(FIND(".",F3,FIND("@",F3)),0)&gt;0,"Valid","Invalid"))</f>
        <v>Valid</v>
      </c>
      <c r="W3" s="66" t="str">
        <f aca="false">IF(TRIM(G3)="","Missing",IF(OR(AND(LEFT(G3,4)="+91 ",LEN(G3)=15),AND(LEFT(G3,7)="+91 11 ",LEN(G3)=16)),"Valid","Invalid"))</f>
        <v>Valid</v>
      </c>
      <c r="X3" s="66" t="n">
        <f aca="false">IF(AND(J3&lt;&gt;"",K3&lt;&gt;"",K3&lt;J3),1,0)</f>
        <v>0</v>
      </c>
      <c r="Y3" s="66" t="n">
        <f aca="false">IF(AND(K3&lt;&gt;"",K3&gt;Analysis!$B$3),1,0)</f>
        <v>0</v>
      </c>
      <c r="Z3" s="66" t="n">
        <f aca="false">IF(AND(Q3=1,ISNUMBER(SEARCH("declin",P3))),1,0)</f>
        <v>0</v>
      </c>
      <c r="AA3" s="66" t="n">
        <f aca="false">IF(Q3=1,S3*2+T3*2+U3+IF(I3="",1,0)+IF(N3="High",2,IF(N3="Medium",1,0)),0)</f>
        <v>4</v>
      </c>
      <c r="AB3" s="66" t="str">
        <f aca="false">IF(Q3=0,"",TRIM(IF(S3=1,"Follow-up overdue. ","")&amp;IF(T3=1,"No contact "&amp;Analysis!$B$4&amp;"+ days. ","")&amp;IF(U3=1,"No follow-up date. ","")&amp;IF(I3="","No owner. ","")&amp;IF(Z3=1,"Remarks conflict with status. ","")&amp;IF(X3=1,"Date error (last &lt; first). ","")&amp;IF(Y3=1,"Future-dated contact. ","")))</f>
        <v>Follow-up overdue. No contact 90+ days.</v>
      </c>
    </row>
    <row r="4" customFormat="false" ht="15" hidden="false" customHeight="false" outlineLevel="0" collapsed="false">
      <c r="A4" s="66" t="s">
        <v>269</v>
      </c>
      <c r="B4" s="66" t="s">
        <v>270</v>
      </c>
      <c r="C4" s="66" t="s">
        <v>207</v>
      </c>
      <c r="D4" s="66" t="s">
        <v>271</v>
      </c>
      <c r="E4" s="66" t="s">
        <v>259</v>
      </c>
      <c r="F4" s="66" t="s">
        <v>272</v>
      </c>
      <c r="G4" s="66" t="s">
        <v>273</v>
      </c>
      <c r="H4" s="66" t="s">
        <v>195</v>
      </c>
      <c r="I4" s="66" t="s">
        <v>221</v>
      </c>
      <c r="J4" s="67" t="n">
        <v>46079</v>
      </c>
      <c r="K4" s="67" t="n">
        <v>46143</v>
      </c>
      <c r="L4" s="67" t="n">
        <v>46257</v>
      </c>
      <c r="M4" s="66" t="n">
        <v>6</v>
      </c>
      <c r="N4" s="66"/>
      <c r="O4" s="66" t="s">
        <v>105</v>
      </c>
      <c r="P4" s="66" t="s">
        <v>274</v>
      </c>
      <c r="Q4" s="66" t="n">
        <f aca="false">IF(OR(H4="Initial Contact",H4="In Discussion",H4="Meeting Scheduled",H4="Engaged"),1,0)</f>
        <v>0</v>
      </c>
      <c r="R4" s="66" t="n">
        <f aca="false">IF(OR(K4="",K4&gt;Analysis!$B$3),"",Analysis!$B$3-K4)</f>
        <v>157</v>
      </c>
      <c r="S4" s="66" t="n">
        <f aca="false">IF(AND(Q4=1,L4&lt;&gt;"",L4&lt;Analysis!$B$3),1,0)</f>
        <v>0</v>
      </c>
      <c r="T4" s="66" t="n">
        <f aca="false">IF(Q4=1,IF(R4="",0,IF(R4&gt;Analysis!$B$4,1,0)),0)</f>
        <v>0</v>
      </c>
      <c r="U4" s="66" t="n">
        <f aca="false">IF(AND(Q4=1,L4=""),1,0)</f>
        <v>0</v>
      </c>
      <c r="V4" s="66" t="str">
        <f aca="false">IF(TRIM(F4)="","Missing",IF(IFERROR(FIND(".",F4,FIND("@",F4)),0)&gt;0,"Valid","Invalid"))</f>
        <v>Valid</v>
      </c>
      <c r="W4" s="66" t="str">
        <f aca="false">IF(TRIM(G4)="","Missing",IF(OR(AND(LEFT(G4,4)="+91 ",LEN(G4)=15),AND(LEFT(G4,7)="+91 11 ",LEN(G4)=16)),"Valid","Invalid"))</f>
        <v>Valid</v>
      </c>
      <c r="X4" s="66" t="n">
        <f aca="false">IF(AND(J4&lt;&gt;"",K4&lt;&gt;"",K4&lt;J4),1,0)</f>
        <v>0</v>
      </c>
      <c r="Y4" s="66" t="n">
        <f aca="false">IF(AND(K4&lt;&gt;"",K4&gt;Analysis!$B$3),1,0)</f>
        <v>0</v>
      </c>
      <c r="Z4" s="66" t="n">
        <f aca="false">IF(AND(Q4=1,ISNUMBER(SEARCH("declin",P4))),1,0)</f>
        <v>0</v>
      </c>
      <c r="AA4" s="66" t="n">
        <f aca="false">IF(Q4=1,S4*2+T4*2+U4+IF(I4="",1,0)+IF(N4="High",2,IF(N4="Medium",1,0)),0)</f>
        <v>0</v>
      </c>
      <c r="AB4" s="66" t="str">
        <f aca="false">IF(Q4=0,"",TRIM(IF(S4=1,"Follow-up overdue. ","")&amp;IF(T4=1,"No contact "&amp;Analysis!$B$4&amp;"+ days. ","")&amp;IF(U4=1,"No follow-up date. ","")&amp;IF(I4="","No owner. ","")&amp;IF(Z4=1,"Remarks conflict with status. ","")&amp;IF(X4=1,"Date error (last &lt; first). ","")&amp;IF(Y4=1,"Future-dated contact. ","")))</f>
        <v/>
      </c>
    </row>
    <row r="5" customFormat="false" ht="15" hidden="false" customHeight="false" outlineLevel="0" collapsed="false">
      <c r="A5" s="66" t="s">
        <v>275</v>
      </c>
      <c r="B5" s="66" t="s">
        <v>276</v>
      </c>
      <c r="C5" s="66" t="s">
        <v>207</v>
      </c>
      <c r="D5" s="66" t="s">
        <v>277</v>
      </c>
      <c r="E5" s="66" t="s">
        <v>278</v>
      </c>
      <c r="F5" s="66" t="s">
        <v>279</v>
      </c>
      <c r="G5" s="66" t="s">
        <v>280</v>
      </c>
      <c r="H5" s="66" t="s">
        <v>14</v>
      </c>
      <c r="I5" s="66" t="s">
        <v>220</v>
      </c>
      <c r="J5" s="67" t="n">
        <v>46233</v>
      </c>
      <c r="K5" s="67" t="n">
        <v>46248</v>
      </c>
      <c r="L5" s="67" t="n">
        <v>46287</v>
      </c>
      <c r="M5" s="66" t="n">
        <v>19</v>
      </c>
      <c r="N5" s="66" t="s">
        <v>64</v>
      </c>
      <c r="O5" s="66" t="s">
        <v>105</v>
      </c>
      <c r="P5" s="66" t="s">
        <v>281</v>
      </c>
      <c r="Q5" s="66" t="n">
        <f aca="false">IF(OR(H5="Initial Contact",H5="In Discussion",H5="Meeting Scheduled",H5="Engaged"),1,0)</f>
        <v>1</v>
      </c>
      <c r="R5" s="66" t="n">
        <f aca="false">IF(OR(K5="",K5&gt;Analysis!$B$3),"",Analysis!$B$3-K5)</f>
        <v>52</v>
      </c>
      <c r="S5" s="66" t="n">
        <f aca="false">IF(AND(Q5=1,L5&lt;&gt;"",L5&lt;Analysis!$B$3),1,0)</f>
        <v>1</v>
      </c>
      <c r="T5" s="66" t="n">
        <f aca="false">IF(Q5=1,IF(R5="",0,IF(R5&gt;Analysis!$B$4,1,0)),0)</f>
        <v>0</v>
      </c>
      <c r="U5" s="66" t="n">
        <f aca="false">IF(AND(Q5=1,L5=""),1,0)</f>
        <v>0</v>
      </c>
      <c r="V5" s="66" t="str">
        <f aca="false">IF(TRIM(F5)="","Missing",IF(IFERROR(FIND(".",F5,FIND("@",F5)),0)&gt;0,"Valid","Invalid"))</f>
        <v>Valid</v>
      </c>
      <c r="W5" s="66" t="str">
        <f aca="false">IF(TRIM(G5)="","Missing",IF(OR(AND(LEFT(G5,4)="+91 ",LEN(G5)=15),AND(LEFT(G5,7)="+91 11 ",LEN(G5)=16)),"Valid","Invalid"))</f>
        <v>Valid</v>
      </c>
      <c r="X5" s="66" t="n">
        <f aca="false">IF(AND(J5&lt;&gt;"",K5&lt;&gt;"",K5&lt;J5),1,0)</f>
        <v>0</v>
      </c>
      <c r="Y5" s="66" t="n">
        <f aca="false">IF(AND(K5&lt;&gt;"",K5&gt;Analysis!$B$3),1,0)</f>
        <v>0</v>
      </c>
      <c r="Z5" s="66" t="n">
        <f aca="false">IF(AND(Q5=1,ISNUMBER(SEARCH("declin",P5))),1,0)</f>
        <v>0</v>
      </c>
      <c r="AA5" s="66" t="n">
        <f aca="false">IF(Q5=1,S5*2+T5*2+U5+IF(I5="",1,0)+IF(N5="High",2,IF(N5="Medium",1,0)),0)</f>
        <v>4</v>
      </c>
      <c r="AB5" s="66" t="str">
        <f aca="false">IF(Q5=0,"",TRIM(IF(S5=1,"Follow-up overdue. ","")&amp;IF(T5=1,"No contact "&amp;Analysis!$B$4&amp;"+ days. ","")&amp;IF(U5=1,"No follow-up date. ","")&amp;IF(I5="","No owner. ","")&amp;IF(Z5=1,"Remarks conflict with status. ","")&amp;IF(X5=1,"Date error (last &lt; first). ","")&amp;IF(Y5=1,"Future-dated contact. ","")))</f>
        <v>Follow-up overdue.</v>
      </c>
    </row>
    <row r="6" customFormat="false" ht="15" hidden="false" customHeight="false" outlineLevel="0" collapsed="false">
      <c r="A6" s="66" t="s">
        <v>282</v>
      </c>
      <c r="B6" s="66" t="s">
        <v>283</v>
      </c>
      <c r="C6" s="66" t="s">
        <v>207</v>
      </c>
      <c r="D6" s="66" t="s">
        <v>284</v>
      </c>
      <c r="E6" s="66" t="s">
        <v>259</v>
      </c>
      <c r="F6" s="66" t="s">
        <v>285</v>
      </c>
      <c r="G6" s="66" t="s">
        <v>286</v>
      </c>
      <c r="H6" s="66" t="s">
        <v>193</v>
      </c>
      <c r="I6" s="66" t="s">
        <v>217</v>
      </c>
      <c r="J6" s="67" t="n">
        <v>46199</v>
      </c>
      <c r="K6" s="67" t="n">
        <v>46270</v>
      </c>
      <c r="L6" s="67" t="n">
        <v>46295</v>
      </c>
      <c r="M6" s="66" t="n">
        <v>8</v>
      </c>
      <c r="N6" s="66" t="s">
        <v>106</v>
      </c>
      <c r="O6" s="66" t="s">
        <v>229</v>
      </c>
      <c r="P6" s="66" t="s">
        <v>287</v>
      </c>
      <c r="Q6" s="66" t="n">
        <f aca="false">IF(OR(H6="Initial Contact",H6="In Discussion",H6="Meeting Scheduled",H6="Engaged"),1,0)</f>
        <v>1</v>
      </c>
      <c r="R6" s="66" t="n">
        <f aca="false">IF(OR(K6="",K6&gt;Analysis!$B$3),"",Analysis!$B$3-K6)</f>
        <v>30</v>
      </c>
      <c r="S6" s="66" t="n">
        <f aca="false">IF(AND(Q6=1,L6&lt;&gt;"",L6&lt;Analysis!$B$3),1,0)</f>
        <v>1</v>
      </c>
      <c r="T6" s="66" t="n">
        <f aca="false">IF(Q6=1,IF(R6="",0,IF(R6&gt;Analysis!$B$4,1,0)),0)</f>
        <v>0</v>
      </c>
      <c r="U6" s="66" t="n">
        <f aca="false">IF(AND(Q6=1,L6=""),1,0)</f>
        <v>0</v>
      </c>
      <c r="V6" s="66" t="str">
        <f aca="false">IF(TRIM(F6)="","Missing",IF(IFERROR(FIND(".",F6,FIND("@",F6)),0)&gt;0,"Valid","Invalid"))</f>
        <v>Valid</v>
      </c>
      <c r="W6" s="66" t="str">
        <f aca="false">IF(TRIM(G6)="","Missing",IF(OR(AND(LEFT(G6,4)="+91 ",LEN(G6)=15),AND(LEFT(G6,7)="+91 11 ",LEN(G6)=16)),"Valid","Invalid"))</f>
        <v>Valid</v>
      </c>
      <c r="X6" s="66" t="n">
        <f aca="false">IF(AND(J6&lt;&gt;"",K6&lt;&gt;"",K6&lt;J6),1,0)</f>
        <v>0</v>
      </c>
      <c r="Y6" s="66" t="n">
        <f aca="false">IF(AND(K6&lt;&gt;"",K6&gt;Analysis!$B$3),1,0)</f>
        <v>0</v>
      </c>
      <c r="Z6" s="66" t="n">
        <f aca="false">IF(AND(Q6=1,ISNUMBER(SEARCH("declin",P6))),1,0)</f>
        <v>0</v>
      </c>
      <c r="AA6" s="66" t="n">
        <f aca="false">IF(Q6=1,S6*2+T6*2+U6+IF(I6="",1,0)+IF(N6="High",2,IF(N6="Medium",1,0)),0)</f>
        <v>2</v>
      </c>
      <c r="AB6" s="66" t="str">
        <f aca="false">IF(Q6=0,"",TRIM(IF(S6=1,"Follow-up overdue. ","")&amp;IF(T6=1,"No contact "&amp;Analysis!$B$4&amp;"+ days. ","")&amp;IF(U6=1,"No follow-up date. ","")&amp;IF(I6="","No owner. ","")&amp;IF(Z6=1,"Remarks conflict with status. ","")&amp;IF(X6=1,"Date error (last &lt; first). ","")&amp;IF(Y6=1,"Future-dated contact. ","")))</f>
        <v>Follow-up overdue.</v>
      </c>
    </row>
    <row r="7" customFormat="false" ht="15" hidden="false" customHeight="false" outlineLevel="0" collapsed="false">
      <c r="A7" s="66" t="s">
        <v>288</v>
      </c>
      <c r="B7" s="66" t="s">
        <v>289</v>
      </c>
      <c r="C7" s="66" t="s">
        <v>207</v>
      </c>
      <c r="D7" s="66" t="s">
        <v>290</v>
      </c>
      <c r="E7" s="66" t="s">
        <v>259</v>
      </c>
      <c r="F7" s="66" t="s">
        <v>291</v>
      </c>
      <c r="G7" s="66" t="s">
        <v>292</v>
      </c>
      <c r="H7" s="66" t="s">
        <v>21</v>
      </c>
      <c r="I7" s="66" t="s">
        <v>221</v>
      </c>
      <c r="J7" s="67"/>
      <c r="K7" s="67" t="n">
        <v>46249</v>
      </c>
      <c r="L7" s="67"/>
      <c r="M7" s="66" t="n">
        <v>2</v>
      </c>
      <c r="N7" s="66"/>
      <c r="O7" s="66"/>
      <c r="P7" s="66" t="s">
        <v>293</v>
      </c>
      <c r="Q7" s="66" t="n">
        <f aca="false">IF(OR(H7="Initial Contact",H7="In Discussion",H7="Meeting Scheduled",H7="Engaged"),1,0)</f>
        <v>0</v>
      </c>
      <c r="R7" s="66" t="n">
        <f aca="false">IF(OR(K7="",K7&gt;Analysis!$B$3),"",Analysis!$B$3-K7)</f>
        <v>51</v>
      </c>
      <c r="S7" s="66" t="n">
        <f aca="false">IF(AND(Q7=1,L7&lt;&gt;"",L7&lt;Analysis!$B$3),1,0)</f>
        <v>0</v>
      </c>
      <c r="T7" s="66" t="n">
        <f aca="false">IF(Q7=1,IF(R7="",0,IF(R7&gt;Analysis!$B$4,1,0)),0)</f>
        <v>0</v>
      </c>
      <c r="U7" s="66" t="n">
        <f aca="false">IF(AND(Q7=1,L7=""),1,0)</f>
        <v>0</v>
      </c>
      <c r="V7" s="66" t="str">
        <f aca="false">IF(TRIM(F7)="","Missing",IF(IFERROR(FIND(".",F7,FIND("@",F7)),0)&gt;0,"Valid","Invalid"))</f>
        <v>Valid</v>
      </c>
      <c r="W7" s="66" t="str">
        <f aca="false">IF(TRIM(G7)="","Missing",IF(OR(AND(LEFT(G7,4)="+91 ",LEN(G7)=15),AND(LEFT(G7,7)="+91 11 ",LEN(G7)=16)),"Valid","Invalid"))</f>
        <v>Valid</v>
      </c>
      <c r="X7" s="66" t="n">
        <f aca="false">IF(AND(J7&lt;&gt;"",K7&lt;&gt;"",K7&lt;J7),1,0)</f>
        <v>0</v>
      </c>
      <c r="Y7" s="66" t="n">
        <f aca="false">IF(AND(K7&lt;&gt;"",K7&gt;Analysis!$B$3),1,0)</f>
        <v>0</v>
      </c>
      <c r="Z7" s="66" t="n">
        <f aca="false">IF(AND(Q7=1,ISNUMBER(SEARCH("declin",P7))),1,0)</f>
        <v>0</v>
      </c>
      <c r="AA7" s="66" t="n">
        <f aca="false">IF(Q7=1,S7*2+T7*2+U7+IF(I7="",1,0)+IF(N7="High",2,IF(N7="Medium",1,0)),0)</f>
        <v>0</v>
      </c>
      <c r="AB7" s="66" t="str">
        <f aca="false">IF(Q7=0,"",TRIM(IF(S7=1,"Follow-up overdue. ","")&amp;IF(T7=1,"No contact "&amp;Analysis!$B$4&amp;"+ days. ","")&amp;IF(U7=1,"No follow-up date. ","")&amp;IF(I7="","No owner. ","")&amp;IF(Z7=1,"Remarks conflict with status. ","")&amp;IF(X7=1,"Date error (last &lt; first). ","")&amp;IF(Y7=1,"Future-dated contact. ","")))</f>
        <v/>
      </c>
    </row>
    <row r="8" customFormat="false" ht="15" hidden="false" customHeight="false" outlineLevel="0" collapsed="false">
      <c r="A8" s="66" t="s">
        <v>294</v>
      </c>
      <c r="B8" s="66" t="s">
        <v>295</v>
      </c>
      <c r="C8" s="66" t="s">
        <v>207</v>
      </c>
      <c r="D8" s="66" t="s">
        <v>296</v>
      </c>
      <c r="E8" s="66" t="s">
        <v>278</v>
      </c>
      <c r="F8" s="66" t="s">
        <v>297</v>
      </c>
      <c r="G8" s="66" t="s">
        <v>298</v>
      </c>
      <c r="H8" s="66" t="s">
        <v>14</v>
      </c>
      <c r="I8" s="66" t="s">
        <v>218</v>
      </c>
      <c r="J8" s="67" t="n">
        <v>45758</v>
      </c>
      <c r="K8" s="67" t="n">
        <v>46294</v>
      </c>
      <c r="L8" s="67" t="n">
        <v>46316</v>
      </c>
      <c r="M8" s="66"/>
      <c r="N8" s="66" t="s">
        <v>85</v>
      </c>
      <c r="O8" s="66" t="s">
        <v>228</v>
      </c>
      <c r="P8" s="66" t="s">
        <v>281</v>
      </c>
      <c r="Q8" s="66" t="n">
        <f aca="false">IF(OR(H8="Initial Contact",H8="In Discussion",H8="Meeting Scheduled",H8="Engaged"),1,0)</f>
        <v>1</v>
      </c>
      <c r="R8" s="66" t="n">
        <f aca="false">IF(OR(K8="",K8&gt;Analysis!$B$3),"",Analysis!$B$3-K8)</f>
        <v>6</v>
      </c>
      <c r="S8" s="66" t="n">
        <f aca="false">IF(AND(Q8=1,L8&lt;&gt;"",L8&lt;Analysis!$B$3),1,0)</f>
        <v>0</v>
      </c>
      <c r="T8" s="66" t="n">
        <f aca="false">IF(Q8=1,IF(R8="",0,IF(R8&gt;Analysis!$B$4,1,0)),0)</f>
        <v>0</v>
      </c>
      <c r="U8" s="66" t="n">
        <f aca="false">IF(AND(Q8=1,L8=""),1,0)</f>
        <v>0</v>
      </c>
      <c r="V8" s="66" t="str">
        <f aca="false">IF(TRIM(F8)="","Missing",IF(IFERROR(FIND(".",F8,FIND("@",F8)),0)&gt;0,"Valid","Invalid"))</f>
        <v>Valid</v>
      </c>
      <c r="W8" s="66" t="str">
        <f aca="false">IF(TRIM(G8)="","Missing",IF(OR(AND(LEFT(G8,4)="+91 ",LEN(G8)=15),AND(LEFT(G8,7)="+91 11 ",LEN(G8)=16)),"Valid","Invalid"))</f>
        <v>Valid</v>
      </c>
      <c r="X8" s="66" t="n">
        <f aca="false">IF(AND(J8&lt;&gt;"",K8&lt;&gt;"",K8&lt;J8),1,0)</f>
        <v>0</v>
      </c>
      <c r="Y8" s="66" t="n">
        <f aca="false">IF(AND(K8&lt;&gt;"",K8&gt;Analysis!$B$3),1,0)</f>
        <v>0</v>
      </c>
      <c r="Z8" s="66" t="n">
        <f aca="false">IF(AND(Q8=1,ISNUMBER(SEARCH("declin",P8))),1,0)</f>
        <v>0</v>
      </c>
      <c r="AA8" s="66" t="n">
        <f aca="false">IF(Q8=1,S8*2+T8*2+U8+IF(I8="",1,0)+IF(N8="High",2,IF(N8="Medium",1,0)),0)</f>
        <v>1</v>
      </c>
      <c r="AB8" s="66" t="str">
        <f aca="false">IF(Q8=0,"",TRIM(IF(S8=1,"Follow-up overdue. ","")&amp;IF(T8=1,"No contact "&amp;Analysis!$B$4&amp;"+ days. ","")&amp;IF(U8=1,"No follow-up date. ","")&amp;IF(I8="","No owner. ","")&amp;IF(Z8=1,"Remarks conflict with status. ","")&amp;IF(X8=1,"Date error (last &lt; first). ","")&amp;IF(Y8=1,"Future-dated contact. ","")))</f>
        <v/>
      </c>
    </row>
    <row r="9" customFormat="false" ht="15" hidden="false" customHeight="false" outlineLevel="0" collapsed="false">
      <c r="A9" s="66" t="s">
        <v>299</v>
      </c>
      <c r="B9" s="66" t="s">
        <v>300</v>
      </c>
      <c r="C9" s="66" t="s">
        <v>207</v>
      </c>
      <c r="D9" s="66" t="s">
        <v>301</v>
      </c>
      <c r="E9" s="66" t="s">
        <v>278</v>
      </c>
      <c r="F9" s="66" t="s">
        <v>302</v>
      </c>
      <c r="G9" s="66" t="s">
        <v>303</v>
      </c>
      <c r="H9" s="66" t="s">
        <v>194</v>
      </c>
      <c r="I9" s="66" t="s">
        <v>218</v>
      </c>
      <c r="J9" s="67" t="n">
        <v>46204</v>
      </c>
      <c r="K9" s="67" t="n">
        <v>46280</v>
      </c>
      <c r="L9" s="67"/>
      <c r="M9" s="66"/>
      <c r="N9" s="66"/>
      <c r="O9" s="66" t="s">
        <v>229</v>
      </c>
      <c r="P9" s="66" t="s">
        <v>304</v>
      </c>
      <c r="Q9" s="66" t="n">
        <f aca="false">IF(OR(H9="Initial Contact",H9="In Discussion",H9="Meeting Scheduled",H9="Engaged"),1,0)</f>
        <v>1</v>
      </c>
      <c r="R9" s="66" t="n">
        <f aca="false">IF(OR(K9="",K9&gt;Analysis!$B$3),"",Analysis!$B$3-K9)</f>
        <v>20</v>
      </c>
      <c r="S9" s="66" t="n">
        <f aca="false">IF(AND(Q9=1,L9&lt;&gt;"",L9&lt;Analysis!$B$3),1,0)</f>
        <v>0</v>
      </c>
      <c r="T9" s="66" t="n">
        <f aca="false">IF(Q9=1,IF(R9="",0,IF(R9&gt;Analysis!$B$4,1,0)),0)</f>
        <v>0</v>
      </c>
      <c r="U9" s="66" t="n">
        <f aca="false">IF(AND(Q9=1,L9=""),1,0)</f>
        <v>1</v>
      </c>
      <c r="V9" s="66" t="str">
        <f aca="false">IF(TRIM(F9)="","Missing",IF(IFERROR(FIND(".",F9,FIND("@",F9)),0)&gt;0,"Valid","Invalid"))</f>
        <v>Valid</v>
      </c>
      <c r="W9" s="66" t="str">
        <f aca="false">IF(TRIM(G9)="","Missing",IF(OR(AND(LEFT(G9,4)="+91 ",LEN(G9)=15),AND(LEFT(G9,7)="+91 11 ",LEN(G9)=16)),"Valid","Invalid"))</f>
        <v>Valid</v>
      </c>
      <c r="X9" s="66" t="n">
        <f aca="false">IF(AND(J9&lt;&gt;"",K9&lt;&gt;"",K9&lt;J9),1,0)</f>
        <v>0</v>
      </c>
      <c r="Y9" s="66" t="n">
        <f aca="false">IF(AND(K9&lt;&gt;"",K9&gt;Analysis!$B$3),1,0)</f>
        <v>0</v>
      </c>
      <c r="Z9" s="66" t="n">
        <f aca="false">IF(AND(Q9=1,ISNUMBER(SEARCH("declin",P9))),1,0)</f>
        <v>0</v>
      </c>
      <c r="AA9" s="66" t="n">
        <f aca="false">IF(Q9=1,S9*2+T9*2+U9+IF(I9="",1,0)+IF(N9="High",2,IF(N9="Medium",1,0)),0)</f>
        <v>1</v>
      </c>
      <c r="AB9" s="66" t="str">
        <f aca="false">IF(Q9=0,"",TRIM(IF(S9=1,"Follow-up overdue. ","")&amp;IF(T9=1,"No contact "&amp;Analysis!$B$4&amp;"+ days. ","")&amp;IF(U9=1,"No follow-up date. ","")&amp;IF(I9="","No owner. ","")&amp;IF(Z9=1,"Remarks conflict with status. ","")&amp;IF(X9=1,"Date error (last &lt; first). ","")&amp;IF(Y9=1,"Future-dated contact. ","")))</f>
        <v>No follow-up date.</v>
      </c>
    </row>
    <row r="10" customFormat="false" ht="15" hidden="false" customHeight="false" outlineLevel="0" collapsed="false">
      <c r="A10" s="66" t="s">
        <v>305</v>
      </c>
      <c r="B10" s="66" t="s">
        <v>306</v>
      </c>
      <c r="C10" s="66" t="s">
        <v>207</v>
      </c>
      <c r="D10" s="66" t="s">
        <v>307</v>
      </c>
      <c r="E10" s="66" t="s">
        <v>308</v>
      </c>
      <c r="F10" s="66"/>
      <c r="G10" s="66" t="s">
        <v>309</v>
      </c>
      <c r="H10" s="66" t="s">
        <v>21</v>
      </c>
      <c r="I10" s="66"/>
      <c r="J10" s="67"/>
      <c r="K10" s="67"/>
      <c r="L10" s="67"/>
      <c r="M10" s="66" t="n">
        <v>0</v>
      </c>
      <c r="N10" s="66"/>
      <c r="O10" s="66"/>
      <c r="P10" s="66" t="s">
        <v>262</v>
      </c>
      <c r="Q10" s="66" t="n">
        <f aca="false">IF(OR(H10="Initial Contact",H10="In Discussion",H10="Meeting Scheduled",H10="Engaged"),1,0)</f>
        <v>0</v>
      </c>
      <c r="R10" s="66" t="str">
        <f aca="false">IF(OR(K10="",K10&gt;Analysis!$B$3),"",Analysis!$B$3-K10)</f>
        <v/>
      </c>
      <c r="S10" s="66" t="n">
        <f aca="false">IF(AND(Q10=1,L10&lt;&gt;"",L10&lt;Analysis!$B$3),1,0)</f>
        <v>0</v>
      </c>
      <c r="T10" s="66" t="n">
        <f aca="false">IF(Q10=1,IF(R10="",0,IF(R10&gt;Analysis!$B$4,1,0)),0)</f>
        <v>0</v>
      </c>
      <c r="U10" s="66" t="n">
        <f aca="false">IF(AND(Q10=1,L10=""),1,0)</f>
        <v>0</v>
      </c>
      <c r="V10" s="66" t="str">
        <f aca="false">IF(TRIM(F10)="","Missing",IF(IFERROR(FIND(".",F10,FIND("@",F10)),0)&gt;0,"Valid","Invalid"))</f>
        <v>Missing</v>
      </c>
      <c r="W10" s="66" t="str">
        <f aca="false">IF(TRIM(G10)="","Missing",IF(OR(AND(LEFT(G10,4)="+91 ",LEN(G10)=15),AND(LEFT(G10,7)="+91 11 ",LEN(G10)=16)),"Valid","Invalid"))</f>
        <v>Invalid</v>
      </c>
      <c r="X10" s="66" t="n">
        <f aca="false">IF(AND(J10&lt;&gt;"",K10&lt;&gt;"",K10&lt;J10),1,0)</f>
        <v>0</v>
      </c>
      <c r="Y10" s="66" t="n">
        <f aca="false">IF(AND(K10&lt;&gt;"",K10&gt;Analysis!$B$3),1,0)</f>
        <v>0</v>
      </c>
      <c r="Z10" s="66" t="n">
        <f aca="false">IF(AND(Q10=1,ISNUMBER(SEARCH("declin",P10))),1,0)</f>
        <v>0</v>
      </c>
      <c r="AA10" s="66" t="n">
        <f aca="false">IF(Q10=1,S10*2+T10*2+U10+IF(I10="",1,0)+IF(N10="High",2,IF(N10="Medium",1,0)),0)</f>
        <v>0</v>
      </c>
      <c r="AB10" s="66" t="str">
        <f aca="false">IF(Q10=0,"",TRIM(IF(S10=1,"Follow-up overdue. ","")&amp;IF(T10=1,"No contact "&amp;Analysis!$B$4&amp;"+ days. ","")&amp;IF(U10=1,"No follow-up date. ","")&amp;IF(I10="","No owner. ","")&amp;IF(Z10=1,"Remarks conflict with status. ","")&amp;IF(X10=1,"Date error (last &lt; first). ","")&amp;IF(Y10=1,"Future-dated contact. ","")))</f>
        <v/>
      </c>
    </row>
    <row r="11" customFormat="false" ht="15" hidden="false" customHeight="false" outlineLevel="0" collapsed="false">
      <c r="A11" s="66" t="s">
        <v>310</v>
      </c>
      <c r="B11" s="66" t="s">
        <v>311</v>
      </c>
      <c r="C11" s="66" t="s">
        <v>207</v>
      </c>
      <c r="D11" s="66" t="s">
        <v>312</v>
      </c>
      <c r="E11" s="66" t="s">
        <v>265</v>
      </c>
      <c r="F11" s="66" t="s">
        <v>313</v>
      </c>
      <c r="G11" s="66" t="s">
        <v>314</v>
      </c>
      <c r="H11" s="66" t="s">
        <v>192</v>
      </c>
      <c r="I11" s="66" t="s">
        <v>220</v>
      </c>
      <c r="J11" s="67" t="n">
        <v>46005</v>
      </c>
      <c r="K11" s="67"/>
      <c r="L11" s="67"/>
      <c r="M11" s="66" t="n">
        <v>2</v>
      </c>
      <c r="N11" s="66" t="s">
        <v>85</v>
      </c>
      <c r="O11" s="66" t="s">
        <v>228</v>
      </c>
      <c r="P11" s="66" t="s">
        <v>315</v>
      </c>
      <c r="Q11" s="66" t="n">
        <f aca="false">IF(OR(H11="Initial Contact",H11="In Discussion",H11="Meeting Scheduled",H11="Engaged"),1,0)</f>
        <v>1</v>
      </c>
      <c r="R11" s="66" t="str">
        <f aca="false">IF(OR(K11="",K11&gt;Analysis!$B$3),"",Analysis!$B$3-K11)</f>
        <v/>
      </c>
      <c r="S11" s="66" t="n">
        <f aca="false">IF(AND(Q11=1,L11&lt;&gt;"",L11&lt;Analysis!$B$3),1,0)</f>
        <v>0</v>
      </c>
      <c r="T11" s="66" t="n">
        <f aca="false">IF(Q11=1,IF(R11="",0,IF(R11&gt;Analysis!$B$4,1,0)),0)</f>
        <v>0</v>
      </c>
      <c r="U11" s="66" t="n">
        <f aca="false">IF(AND(Q11=1,L11=""),1,0)</f>
        <v>1</v>
      </c>
      <c r="V11" s="66" t="str">
        <f aca="false">IF(TRIM(F11)="","Missing",IF(IFERROR(FIND(".",F11,FIND("@",F11)),0)&gt;0,"Valid","Invalid"))</f>
        <v>Valid</v>
      </c>
      <c r="W11" s="66" t="str">
        <f aca="false">IF(TRIM(G11)="","Missing",IF(OR(AND(LEFT(G11,4)="+91 ",LEN(G11)=15),AND(LEFT(G11,7)="+91 11 ",LEN(G11)=16)),"Valid","Invalid"))</f>
        <v>Valid</v>
      </c>
      <c r="X11" s="66" t="n">
        <f aca="false">IF(AND(J11&lt;&gt;"",K11&lt;&gt;"",K11&lt;J11),1,0)</f>
        <v>0</v>
      </c>
      <c r="Y11" s="66" t="n">
        <f aca="false">IF(AND(K11&lt;&gt;"",K11&gt;Analysis!$B$3),1,0)</f>
        <v>0</v>
      </c>
      <c r="Z11" s="66" t="n">
        <f aca="false">IF(AND(Q11=1,ISNUMBER(SEARCH("declin",P11))),1,0)</f>
        <v>0</v>
      </c>
      <c r="AA11" s="66" t="n">
        <f aca="false">IF(Q11=1,S11*2+T11*2+U11+IF(I11="",1,0)+IF(N11="High",2,IF(N11="Medium",1,0)),0)</f>
        <v>2</v>
      </c>
      <c r="AB11" s="66" t="str">
        <f aca="false">IF(Q11=0,"",TRIM(IF(S11=1,"Follow-up overdue. ","")&amp;IF(T11=1,"No contact "&amp;Analysis!$B$4&amp;"+ days. ","")&amp;IF(U11=1,"No follow-up date. ","")&amp;IF(I11="","No owner. ","")&amp;IF(Z11=1,"Remarks conflict with status. ","")&amp;IF(X11=1,"Date error (last &lt; first). ","")&amp;IF(Y11=1,"Future-dated contact. ","")))</f>
        <v>No follow-up date.</v>
      </c>
    </row>
    <row r="12" customFormat="false" ht="15" hidden="false" customHeight="false" outlineLevel="0" collapsed="false">
      <c r="A12" s="66" t="s">
        <v>316</v>
      </c>
      <c r="B12" s="66" t="s">
        <v>317</v>
      </c>
      <c r="C12" s="66" t="s">
        <v>207</v>
      </c>
      <c r="D12" s="66" t="s">
        <v>318</v>
      </c>
      <c r="E12" s="66" t="s">
        <v>308</v>
      </c>
      <c r="F12" s="66" t="s">
        <v>319</v>
      </c>
      <c r="G12" s="66" t="s">
        <v>320</v>
      </c>
      <c r="H12" s="66" t="s">
        <v>195</v>
      </c>
      <c r="I12" s="66" t="s">
        <v>219</v>
      </c>
      <c r="J12" s="67" t="n">
        <v>45891</v>
      </c>
      <c r="K12" s="67" t="n">
        <v>46233</v>
      </c>
      <c r="L12" s="67" t="n">
        <v>46310</v>
      </c>
      <c r="M12" s="66" t="n">
        <v>2</v>
      </c>
      <c r="N12" s="66" t="s">
        <v>106</v>
      </c>
      <c r="O12" s="66" t="s">
        <v>97</v>
      </c>
      <c r="P12" s="66" t="s">
        <v>321</v>
      </c>
      <c r="Q12" s="66" t="n">
        <f aca="false">IF(OR(H12="Initial Contact",H12="In Discussion",H12="Meeting Scheduled",H12="Engaged"),1,0)</f>
        <v>0</v>
      </c>
      <c r="R12" s="66" t="n">
        <f aca="false">IF(OR(K12="",K12&gt;Analysis!$B$3),"",Analysis!$B$3-K12)</f>
        <v>67</v>
      </c>
      <c r="S12" s="66" t="n">
        <f aca="false">IF(AND(Q12=1,L12&lt;&gt;"",L12&lt;Analysis!$B$3),1,0)</f>
        <v>0</v>
      </c>
      <c r="T12" s="66" t="n">
        <f aca="false">IF(Q12=1,IF(R12="",0,IF(R12&gt;Analysis!$B$4,1,0)),0)</f>
        <v>0</v>
      </c>
      <c r="U12" s="66" t="n">
        <f aca="false">IF(AND(Q12=1,L12=""),1,0)</f>
        <v>0</v>
      </c>
      <c r="V12" s="66" t="str">
        <f aca="false">IF(TRIM(F12)="","Missing",IF(IFERROR(FIND(".",F12,FIND("@",F12)),0)&gt;0,"Valid","Invalid"))</f>
        <v>Valid</v>
      </c>
      <c r="W12" s="66" t="str">
        <f aca="false">IF(TRIM(G12)="","Missing",IF(OR(AND(LEFT(G12,4)="+91 ",LEN(G12)=15),AND(LEFT(G12,7)="+91 11 ",LEN(G12)=16)),"Valid","Invalid"))</f>
        <v>Valid</v>
      </c>
      <c r="X12" s="66" t="n">
        <f aca="false">IF(AND(J12&lt;&gt;"",K12&lt;&gt;"",K12&lt;J12),1,0)</f>
        <v>0</v>
      </c>
      <c r="Y12" s="66" t="n">
        <f aca="false">IF(AND(K12&lt;&gt;"",K12&gt;Analysis!$B$3),1,0)</f>
        <v>0</v>
      </c>
      <c r="Z12" s="66" t="n">
        <f aca="false">IF(AND(Q12=1,ISNUMBER(SEARCH("declin",P12))),1,0)</f>
        <v>0</v>
      </c>
      <c r="AA12" s="66" t="n">
        <f aca="false">IF(Q12=1,S12*2+T12*2+U12+IF(I12="",1,0)+IF(N12="High",2,IF(N12="Medium",1,0)),0)</f>
        <v>0</v>
      </c>
      <c r="AB12" s="66" t="str">
        <f aca="false">IF(Q12=0,"",TRIM(IF(S12=1,"Follow-up overdue. ","")&amp;IF(T12=1,"No contact "&amp;Analysis!$B$4&amp;"+ days. ","")&amp;IF(U12=1,"No follow-up date. ","")&amp;IF(I12="","No owner. ","")&amp;IF(Z12=1,"Remarks conflict with status. ","")&amp;IF(X12=1,"Date error (last &lt; first). ","")&amp;IF(Y12=1,"Future-dated contact. ","")))</f>
        <v/>
      </c>
    </row>
    <row r="13" customFormat="false" ht="15" hidden="false" customHeight="false" outlineLevel="0" collapsed="false">
      <c r="A13" s="66" t="s">
        <v>41</v>
      </c>
      <c r="B13" s="66" t="s">
        <v>322</v>
      </c>
      <c r="C13" s="66" t="s">
        <v>207</v>
      </c>
      <c r="D13" s="66" t="s">
        <v>323</v>
      </c>
      <c r="E13" s="66" t="s">
        <v>324</v>
      </c>
      <c r="F13" s="66" t="s">
        <v>325</v>
      </c>
      <c r="G13" s="66" t="s">
        <v>326</v>
      </c>
      <c r="H13" s="66" t="s">
        <v>194</v>
      </c>
      <c r="I13" s="66" t="s">
        <v>220</v>
      </c>
      <c r="J13" s="67" t="n">
        <v>46096</v>
      </c>
      <c r="K13" s="67" t="n">
        <v>46195</v>
      </c>
      <c r="L13" s="67" t="n">
        <v>46215</v>
      </c>
      <c r="M13" s="66" t="n">
        <v>6</v>
      </c>
      <c r="N13" s="66" t="s">
        <v>85</v>
      </c>
      <c r="O13" s="66" t="s">
        <v>97</v>
      </c>
      <c r="P13" s="66" t="s">
        <v>327</v>
      </c>
      <c r="Q13" s="66" t="n">
        <f aca="false">IF(OR(H13="Initial Contact",H13="In Discussion",H13="Meeting Scheduled",H13="Engaged"),1,0)</f>
        <v>1</v>
      </c>
      <c r="R13" s="66" t="n">
        <f aca="false">IF(OR(K13="",K13&gt;Analysis!$B$3),"",Analysis!$B$3-K13)</f>
        <v>105</v>
      </c>
      <c r="S13" s="66" t="n">
        <f aca="false">IF(AND(Q13=1,L13&lt;&gt;"",L13&lt;Analysis!$B$3),1,0)</f>
        <v>1</v>
      </c>
      <c r="T13" s="66" t="n">
        <f aca="false">IF(Q13=1,IF(R13="",0,IF(R13&gt;Analysis!$B$4,1,0)),0)</f>
        <v>1</v>
      </c>
      <c r="U13" s="66" t="n">
        <f aca="false">IF(AND(Q13=1,L13=""),1,0)</f>
        <v>0</v>
      </c>
      <c r="V13" s="66" t="str">
        <f aca="false">IF(TRIM(F13)="","Missing",IF(IFERROR(FIND(".",F13,FIND("@",F13)),0)&gt;0,"Valid","Invalid"))</f>
        <v>Valid</v>
      </c>
      <c r="W13" s="66" t="str">
        <f aca="false">IF(TRIM(G13)="","Missing",IF(OR(AND(LEFT(G13,4)="+91 ",LEN(G13)=15),AND(LEFT(G13,7)="+91 11 ",LEN(G13)=16)),"Valid","Invalid"))</f>
        <v>Valid</v>
      </c>
      <c r="X13" s="66" t="n">
        <f aca="false">IF(AND(J13&lt;&gt;"",K13&lt;&gt;"",K13&lt;J13),1,0)</f>
        <v>0</v>
      </c>
      <c r="Y13" s="66" t="n">
        <f aca="false">IF(AND(K13&lt;&gt;"",K13&gt;Analysis!$B$3),1,0)</f>
        <v>0</v>
      </c>
      <c r="Z13" s="66" t="n">
        <f aca="false">IF(AND(Q13=1,ISNUMBER(SEARCH("declin",P13))),1,0)</f>
        <v>0</v>
      </c>
      <c r="AA13" s="66" t="n">
        <f aca="false">IF(Q13=1,S13*2+T13*2+U13+IF(I13="",1,0)+IF(N13="High",2,IF(N13="Medium",1,0)),0)</f>
        <v>5</v>
      </c>
      <c r="AB13" s="66" t="str">
        <f aca="false">IF(Q13=0,"",TRIM(IF(S13=1,"Follow-up overdue. ","")&amp;IF(T13=1,"No contact "&amp;Analysis!$B$4&amp;"+ days. ","")&amp;IF(U13=1,"No follow-up date. ","")&amp;IF(I13="","No owner. ","")&amp;IF(Z13=1,"Remarks conflict with status. ","")&amp;IF(X13=1,"Date error (last &lt; first). ","")&amp;IF(Y13=1,"Future-dated contact. ","")))</f>
        <v>Follow-up overdue. No contact 90+ days.</v>
      </c>
    </row>
    <row r="14" customFormat="false" ht="15" hidden="false" customHeight="false" outlineLevel="0" collapsed="false">
      <c r="A14" s="66" t="s">
        <v>328</v>
      </c>
      <c r="B14" s="66" t="s">
        <v>329</v>
      </c>
      <c r="C14" s="66" t="s">
        <v>207</v>
      </c>
      <c r="D14" s="66" t="s">
        <v>330</v>
      </c>
      <c r="E14" s="66" t="s">
        <v>324</v>
      </c>
      <c r="F14" s="66" t="s">
        <v>331</v>
      </c>
      <c r="G14" s="66" t="s">
        <v>332</v>
      </c>
      <c r="H14" s="66" t="s">
        <v>193</v>
      </c>
      <c r="I14" s="66" t="s">
        <v>222</v>
      </c>
      <c r="J14" s="67" t="n">
        <v>45696</v>
      </c>
      <c r="K14" s="67" t="n">
        <v>46289</v>
      </c>
      <c r="L14" s="67" t="n">
        <v>46321</v>
      </c>
      <c r="M14" s="66" t="n">
        <v>5</v>
      </c>
      <c r="N14" s="66" t="s">
        <v>85</v>
      </c>
      <c r="O14" s="66" t="s">
        <v>97</v>
      </c>
      <c r="P14" s="66" t="s">
        <v>287</v>
      </c>
      <c r="Q14" s="66" t="n">
        <f aca="false">IF(OR(H14="Initial Contact",H14="In Discussion",H14="Meeting Scheduled",H14="Engaged"),1,0)</f>
        <v>1</v>
      </c>
      <c r="R14" s="66" t="n">
        <f aca="false">IF(OR(K14="",K14&gt;Analysis!$B$3),"",Analysis!$B$3-K14)</f>
        <v>11</v>
      </c>
      <c r="S14" s="66" t="n">
        <f aca="false">IF(AND(Q14=1,L14&lt;&gt;"",L14&lt;Analysis!$B$3),1,0)</f>
        <v>0</v>
      </c>
      <c r="T14" s="66" t="n">
        <f aca="false">IF(Q14=1,IF(R14="",0,IF(R14&gt;Analysis!$B$4,1,0)),0)</f>
        <v>0</v>
      </c>
      <c r="U14" s="66" t="n">
        <f aca="false">IF(AND(Q14=1,L14=""),1,0)</f>
        <v>0</v>
      </c>
      <c r="V14" s="66" t="str">
        <f aca="false">IF(TRIM(F14)="","Missing",IF(IFERROR(FIND(".",F14,FIND("@",F14)),0)&gt;0,"Valid","Invalid"))</f>
        <v>Valid</v>
      </c>
      <c r="W14" s="66" t="str">
        <f aca="false">IF(TRIM(G14)="","Missing",IF(OR(AND(LEFT(G14,4)="+91 ",LEN(G14)=15),AND(LEFT(G14,7)="+91 11 ",LEN(G14)=16)),"Valid","Invalid"))</f>
        <v>Valid</v>
      </c>
      <c r="X14" s="66" t="n">
        <f aca="false">IF(AND(J14&lt;&gt;"",K14&lt;&gt;"",K14&lt;J14),1,0)</f>
        <v>0</v>
      </c>
      <c r="Y14" s="66" t="n">
        <f aca="false">IF(AND(K14&lt;&gt;"",K14&gt;Analysis!$B$3),1,0)</f>
        <v>0</v>
      </c>
      <c r="Z14" s="66" t="n">
        <f aca="false">IF(AND(Q14=1,ISNUMBER(SEARCH("declin",P14))),1,0)</f>
        <v>0</v>
      </c>
      <c r="AA14" s="66" t="n">
        <f aca="false">IF(Q14=1,S14*2+T14*2+U14+IF(I14="",1,0)+IF(N14="High",2,IF(N14="Medium",1,0)),0)</f>
        <v>1</v>
      </c>
      <c r="AB14" s="66" t="str">
        <f aca="false">IF(Q14=0,"",TRIM(IF(S14=1,"Follow-up overdue. ","")&amp;IF(T14=1,"No contact "&amp;Analysis!$B$4&amp;"+ days. ","")&amp;IF(U14=1,"No follow-up date. ","")&amp;IF(I14="","No owner. ","")&amp;IF(Z14=1,"Remarks conflict with status. ","")&amp;IF(X14=1,"Date error (last &lt; first). ","")&amp;IF(Y14=1,"Future-dated contact. ","")))</f>
        <v/>
      </c>
    </row>
    <row r="15" customFormat="false" ht="15" hidden="false" customHeight="false" outlineLevel="0" collapsed="false">
      <c r="A15" s="66" t="s">
        <v>333</v>
      </c>
      <c r="B15" s="66" t="s">
        <v>334</v>
      </c>
      <c r="C15" s="66" t="s">
        <v>207</v>
      </c>
      <c r="D15" s="66" t="s">
        <v>335</v>
      </c>
      <c r="E15" s="66" t="s">
        <v>336</v>
      </c>
      <c r="F15" s="66" t="s">
        <v>337</v>
      </c>
      <c r="G15" s="66" t="s">
        <v>338</v>
      </c>
      <c r="H15" s="66" t="s">
        <v>194</v>
      </c>
      <c r="I15" s="66" t="s">
        <v>220</v>
      </c>
      <c r="J15" s="67" t="n">
        <v>45917</v>
      </c>
      <c r="K15" s="67" t="n">
        <v>46383</v>
      </c>
      <c r="L15" s="67"/>
      <c r="M15" s="66" t="n">
        <v>8</v>
      </c>
      <c r="N15" s="66" t="s">
        <v>85</v>
      </c>
      <c r="O15" s="66" t="s">
        <v>105</v>
      </c>
      <c r="P15" s="66" t="s">
        <v>327</v>
      </c>
      <c r="Q15" s="66" t="n">
        <f aca="false">IF(OR(H15="Initial Contact",H15="In Discussion",H15="Meeting Scheduled",H15="Engaged"),1,0)</f>
        <v>1</v>
      </c>
      <c r="R15" s="66" t="str">
        <f aca="false">IF(OR(K15="",K15&gt;Analysis!$B$3),"",Analysis!$B$3-K15)</f>
        <v/>
      </c>
      <c r="S15" s="66" t="n">
        <f aca="false">IF(AND(Q15=1,L15&lt;&gt;"",L15&lt;Analysis!$B$3),1,0)</f>
        <v>0</v>
      </c>
      <c r="T15" s="66" t="n">
        <f aca="false">IF(Q15=1,IF(R15="",0,IF(R15&gt;Analysis!$B$4,1,0)),0)</f>
        <v>0</v>
      </c>
      <c r="U15" s="66" t="n">
        <f aca="false">IF(AND(Q15=1,L15=""),1,0)</f>
        <v>1</v>
      </c>
      <c r="V15" s="66" t="str">
        <f aca="false">IF(TRIM(F15)="","Missing",IF(IFERROR(FIND(".",F15,FIND("@",F15)),0)&gt;0,"Valid","Invalid"))</f>
        <v>Valid</v>
      </c>
      <c r="W15" s="66" t="str">
        <f aca="false">IF(TRIM(G15)="","Missing",IF(OR(AND(LEFT(G15,4)="+91 ",LEN(G15)=15),AND(LEFT(G15,7)="+91 11 ",LEN(G15)=16)),"Valid","Invalid"))</f>
        <v>Valid</v>
      </c>
      <c r="X15" s="66" t="n">
        <f aca="false">IF(AND(J15&lt;&gt;"",K15&lt;&gt;"",K15&lt;J15),1,0)</f>
        <v>0</v>
      </c>
      <c r="Y15" s="66" t="n">
        <f aca="false">IF(AND(K15&lt;&gt;"",K15&gt;Analysis!$B$3),1,0)</f>
        <v>1</v>
      </c>
      <c r="Z15" s="66" t="n">
        <f aca="false">IF(AND(Q15=1,ISNUMBER(SEARCH("declin",P15))),1,0)</f>
        <v>0</v>
      </c>
      <c r="AA15" s="66" t="n">
        <f aca="false">IF(Q15=1,S15*2+T15*2+U15+IF(I15="",1,0)+IF(N15="High",2,IF(N15="Medium",1,0)),0)</f>
        <v>2</v>
      </c>
      <c r="AB15" s="66" t="str">
        <f aca="false">IF(Q15=0,"",TRIM(IF(S15=1,"Follow-up overdue. ","")&amp;IF(T15=1,"No contact "&amp;Analysis!$B$4&amp;"+ days. ","")&amp;IF(U15=1,"No follow-up date. ","")&amp;IF(I15="","No owner. ","")&amp;IF(Z15=1,"Remarks conflict with status. ","")&amp;IF(X15=1,"Date error (last &lt; first). ","")&amp;IF(Y15=1,"Future-dated contact. ","")))</f>
        <v>No follow-up date. Future-dated contact.</v>
      </c>
    </row>
    <row r="16" customFormat="false" ht="15" hidden="false" customHeight="false" outlineLevel="0" collapsed="false">
      <c r="A16" s="66" t="s">
        <v>339</v>
      </c>
      <c r="B16" s="66" t="s">
        <v>340</v>
      </c>
      <c r="C16" s="66" t="s">
        <v>207</v>
      </c>
      <c r="D16" s="66" t="s">
        <v>341</v>
      </c>
      <c r="E16" s="66" t="s">
        <v>259</v>
      </c>
      <c r="F16" s="66" t="s">
        <v>342</v>
      </c>
      <c r="G16" s="66" t="s">
        <v>343</v>
      </c>
      <c r="H16" s="66" t="s">
        <v>193</v>
      </c>
      <c r="I16" s="66" t="s">
        <v>222</v>
      </c>
      <c r="J16" s="67" t="n">
        <v>45729</v>
      </c>
      <c r="K16" s="67" t="n">
        <v>46269</v>
      </c>
      <c r="L16" s="67" t="n">
        <v>46323</v>
      </c>
      <c r="M16" s="66" t="n">
        <v>6</v>
      </c>
      <c r="N16" s="66" t="s">
        <v>64</v>
      </c>
      <c r="O16" s="66" t="s">
        <v>229</v>
      </c>
      <c r="P16" s="66" t="s">
        <v>344</v>
      </c>
      <c r="Q16" s="66" t="n">
        <f aca="false">IF(OR(H16="Initial Contact",H16="In Discussion",H16="Meeting Scheduled",H16="Engaged"),1,0)</f>
        <v>1</v>
      </c>
      <c r="R16" s="66" t="n">
        <f aca="false">IF(OR(K16="",K16&gt;Analysis!$B$3),"",Analysis!$B$3-K16)</f>
        <v>31</v>
      </c>
      <c r="S16" s="66" t="n">
        <f aca="false">IF(AND(Q16=1,L16&lt;&gt;"",L16&lt;Analysis!$B$3),1,0)</f>
        <v>0</v>
      </c>
      <c r="T16" s="66" t="n">
        <f aca="false">IF(Q16=1,IF(R16="",0,IF(R16&gt;Analysis!$B$4,1,0)),0)</f>
        <v>0</v>
      </c>
      <c r="U16" s="66" t="n">
        <f aca="false">IF(AND(Q16=1,L16=""),1,0)</f>
        <v>0</v>
      </c>
      <c r="V16" s="66" t="str">
        <f aca="false">IF(TRIM(F16)="","Missing",IF(IFERROR(FIND(".",F16,FIND("@",F16)),0)&gt;0,"Valid","Invalid"))</f>
        <v>Valid</v>
      </c>
      <c r="W16" s="66" t="str">
        <f aca="false">IF(TRIM(G16)="","Missing",IF(OR(AND(LEFT(G16,4)="+91 ",LEN(G16)=15),AND(LEFT(G16,7)="+91 11 ",LEN(G16)=16)),"Valid","Invalid"))</f>
        <v>Valid</v>
      </c>
      <c r="X16" s="66" t="n">
        <f aca="false">IF(AND(J16&lt;&gt;"",K16&lt;&gt;"",K16&lt;J16),1,0)</f>
        <v>0</v>
      </c>
      <c r="Y16" s="66" t="n">
        <f aca="false">IF(AND(K16&lt;&gt;"",K16&gt;Analysis!$B$3),1,0)</f>
        <v>0</v>
      </c>
      <c r="Z16" s="66" t="n">
        <f aca="false">IF(AND(Q16=1,ISNUMBER(SEARCH("declin",P16))),1,0)</f>
        <v>0</v>
      </c>
      <c r="AA16" s="66" t="n">
        <f aca="false">IF(Q16=1,S16*2+T16*2+U16+IF(I16="",1,0)+IF(N16="High",2,IF(N16="Medium",1,0)),0)</f>
        <v>2</v>
      </c>
      <c r="AB16" s="66" t="str">
        <f aca="false">IF(Q16=0,"",TRIM(IF(S16=1,"Follow-up overdue. ","")&amp;IF(T16=1,"No contact "&amp;Analysis!$B$4&amp;"+ days. ","")&amp;IF(U16=1,"No follow-up date. ","")&amp;IF(I16="","No owner. ","")&amp;IF(Z16=1,"Remarks conflict with status. ","")&amp;IF(X16=1,"Date error (last &lt; first). ","")&amp;IF(Y16=1,"Future-dated contact. ","")))</f>
        <v/>
      </c>
    </row>
    <row r="17" customFormat="false" ht="15" hidden="false" customHeight="false" outlineLevel="0" collapsed="false">
      <c r="A17" s="66" t="s">
        <v>345</v>
      </c>
      <c r="B17" s="66" t="s">
        <v>346</v>
      </c>
      <c r="C17" s="66" t="s">
        <v>207</v>
      </c>
      <c r="D17" s="66" t="s">
        <v>347</v>
      </c>
      <c r="E17" s="66" t="s">
        <v>348</v>
      </c>
      <c r="F17" s="66" t="s">
        <v>349</v>
      </c>
      <c r="G17" s="66"/>
      <c r="H17" s="66" t="s">
        <v>192</v>
      </c>
      <c r="I17" s="66" t="s">
        <v>222</v>
      </c>
      <c r="J17" s="67" t="n">
        <v>45829</v>
      </c>
      <c r="K17" s="67" t="n">
        <v>46299</v>
      </c>
      <c r="L17" s="67"/>
      <c r="M17" s="66" t="n">
        <v>2</v>
      </c>
      <c r="N17" s="66" t="s">
        <v>106</v>
      </c>
      <c r="O17" s="66" t="s">
        <v>229</v>
      </c>
      <c r="P17" s="66" t="s">
        <v>350</v>
      </c>
      <c r="Q17" s="66" t="n">
        <f aca="false">IF(OR(H17="Initial Contact",H17="In Discussion",H17="Meeting Scheduled",H17="Engaged"),1,0)</f>
        <v>1</v>
      </c>
      <c r="R17" s="66" t="n">
        <f aca="false">IF(OR(K17="",K17&gt;Analysis!$B$3),"",Analysis!$B$3-K17)</f>
        <v>1</v>
      </c>
      <c r="S17" s="66" t="n">
        <f aca="false">IF(AND(Q17=1,L17&lt;&gt;"",L17&lt;Analysis!$B$3),1,0)</f>
        <v>0</v>
      </c>
      <c r="T17" s="66" t="n">
        <f aca="false">IF(Q17=1,IF(R17="",0,IF(R17&gt;Analysis!$B$4,1,0)),0)</f>
        <v>0</v>
      </c>
      <c r="U17" s="66" t="n">
        <f aca="false">IF(AND(Q17=1,L17=""),1,0)</f>
        <v>1</v>
      </c>
      <c r="V17" s="66" t="str">
        <f aca="false">IF(TRIM(F17)="","Missing",IF(IFERROR(FIND(".",F17,FIND("@",F17)),0)&gt;0,"Valid","Invalid"))</f>
        <v>Valid</v>
      </c>
      <c r="W17" s="66" t="str">
        <f aca="false">IF(TRIM(G17)="","Missing",IF(OR(AND(LEFT(G17,4)="+91 ",LEN(G17)=15),AND(LEFT(G17,7)="+91 11 ",LEN(G17)=16)),"Valid","Invalid"))</f>
        <v>Missing</v>
      </c>
      <c r="X17" s="66" t="n">
        <f aca="false">IF(AND(J17&lt;&gt;"",K17&lt;&gt;"",K17&lt;J17),1,0)</f>
        <v>0</v>
      </c>
      <c r="Y17" s="66" t="n">
        <f aca="false">IF(AND(K17&lt;&gt;"",K17&gt;Analysis!$B$3),1,0)</f>
        <v>0</v>
      </c>
      <c r="Z17" s="66" t="n">
        <f aca="false">IF(AND(Q17=1,ISNUMBER(SEARCH("declin",P17))),1,0)</f>
        <v>0</v>
      </c>
      <c r="AA17" s="66" t="n">
        <f aca="false">IF(Q17=1,S17*2+T17*2+U17+IF(I17="",1,0)+IF(N17="High",2,IF(N17="Medium",1,0)),0)</f>
        <v>1</v>
      </c>
      <c r="AB17" s="66" t="str">
        <f aca="false">IF(Q17=0,"",TRIM(IF(S17=1,"Follow-up overdue. ","")&amp;IF(T17=1,"No contact "&amp;Analysis!$B$4&amp;"+ days. ","")&amp;IF(U17=1,"No follow-up date. ","")&amp;IF(I17="","No owner. ","")&amp;IF(Z17=1,"Remarks conflict with status. ","")&amp;IF(X17=1,"Date error (last &lt; first). ","")&amp;IF(Y17=1,"Future-dated contact. ","")))</f>
        <v>No follow-up date.</v>
      </c>
    </row>
    <row r="18" customFormat="false" ht="15" hidden="false" customHeight="false" outlineLevel="0" collapsed="false">
      <c r="A18" s="66" t="s">
        <v>351</v>
      </c>
      <c r="B18" s="66" t="s">
        <v>352</v>
      </c>
      <c r="C18" s="66" t="s">
        <v>207</v>
      </c>
      <c r="D18" s="66" t="s">
        <v>353</v>
      </c>
      <c r="E18" s="66" t="s">
        <v>324</v>
      </c>
      <c r="F18" s="66" t="s">
        <v>354</v>
      </c>
      <c r="G18" s="66" t="s">
        <v>355</v>
      </c>
      <c r="H18" s="66" t="s">
        <v>21</v>
      </c>
      <c r="I18" s="66" t="s">
        <v>218</v>
      </c>
      <c r="J18" s="67"/>
      <c r="K18" s="67"/>
      <c r="L18" s="67"/>
      <c r="M18" s="66" t="n">
        <v>0</v>
      </c>
      <c r="N18" s="66"/>
      <c r="O18" s="66"/>
      <c r="P18" s="66" t="s">
        <v>262</v>
      </c>
      <c r="Q18" s="66" t="n">
        <f aca="false">IF(OR(H18="Initial Contact",H18="In Discussion",H18="Meeting Scheduled",H18="Engaged"),1,0)</f>
        <v>0</v>
      </c>
      <c r="R18" s="66" t="str">
        <f aca="false">IF(OR(K18="",K18&gt;Analysis!$B$3),"",Analysis!$B$3-K18)</f>
        <v/>
      </c>
      <c r="S18" s="66" t="n">
        <f aca="false">IF(AND(Q18=1,L18&lt;&gt;"",L18&lt;Analysis!$B$3),1,0)</f>
        <v>0</v>
      </c>
      <c r="T18" s="66" t="n">
        <f aca="false">IF(Q18=1,IF(R18="",0,IF(R18&gt;Analysis!$B$4,1,0)),0)</f>
        <v>0</v>
      </c>
      <c r="U18" s="66" t="n">
        <f aca="false">IF(AND(Q18=1,L18=""),1,0)</f>
        <v>0</v>
      </c>
      <c r="V18" s="66" t="str">
        <f aca="false">IF(TRIM(F18)="","Missing",IF(IFERROR(FIND(".",F18,FIND("@",F18)),0)&gt;0,"Valid","Invalid"))</f>
        <v>Valid</v>
      </c>
      <c r="W18" s="66" t="str">
        <f aca="false">IF(TRIM(G18)="","Missing",IF(OR(AND(LEFT(G18,4)="+91 ",LEN(G18)=15),AND(LEFT(G18,7)="+91 11 ",LEN(G18)=16)),"Valid","Invalid"))</f>
        <v>Valid</v>
      </c>
      <c r="X18" s="66" t="n">
        <f aca="false">IF(AND(J18&lt;&gt;"",K18&lt;&gt;"",K18&lt;J18),1,0)</f>
        <v>0</v>
      </c>
      <c r="Y18" s="66" t="n">
        <f aca="false">IF(AND(K18&lt;&gt;"",K18&gt;Analysis!$B$3),1,0)</f>
        <v>0</v>
      </c>
      <c r="Z18" s="66" t="n">
        <f aca="false">IF(AND(Q18=1,ISNUMBER(SEARCH("declin",P18))),1,0)</f>
        <v>0</v>
      </c>
      <c r="AA18" s="66" t="n">
        <f aca="false">IF(Q18=1,S18*2+T18*2+U18+IF(I18="",1,0)+IF(N18="High",2,IF(N18="Medium",1,0)),0)</f>
        <v>0</v>
      </c>
      <c r="AB18" s="66" t="str">
        <f aca="false">IF(Q18=0,"",TRIM(IF(S18=1,"Follow-up overdue. ","")&amp;IF(T18=1,"No contact "&amp;Analysis!$B$4&amp;"+ days. ","")&amp;IF(U18=1,"No follow-up date. ","")&amp;IF(I18="","No owner. ","")&amp;IF(Z18=1,"Remarks conflict with status. ","")&amp;IF(X18=1,"Date error (last &lt; first). ","")&amp;IF(Y18=1,"Future-dated contact. ","")))</f>
        <v/>
      </c>
    </row>
    <row r="19" customFormat="false" ht="15" hidden="false" customHeight="false" outlineLevel="0" collapsed="false">
      <c r="A19" s="66" t="s">
        <v>37</v>
      </c>
      <c r="B19" s="66" t="s">
        <v>356</v>
      </c>
      <c r="C19" s="66" t="s">
        <v>207</v>
      </c>
      <c r="D19" s="66" t="s">
        <v>357</v>
      </c>
      <c r="E19" s="66" t="s">
        <v>348</v>
      </c>
      <c r="F19" s="66" t="s">
        <v>358</v>
      </c>
      <c r="G19" s="66" t="s">
        <v>359</v>
      </c>
      <c r="H19" s="66" t="s">
        <v>193</v>
      </c>
      <c r="I19" s="66" t="s">
        <v>220</v>
      </c>
      <c r="J19" s="67" t="n">
        <v>45681</v>
      </c>
      <c r="K19" s="67" t="n">
        <v>46087</v>
      </c>
      <c r="L19" s="67" t="n">
        <v>46128</v>
      </c>
      <c r="M19" s="66" t="n">
        <v>0</v>
      </c>
      <c r="N19" s="66" t="s">
        <v>85</v>
      </c>
      <c r="O19" s="66" t="s">
        <v>105</v>
      </c>
      <c r="P19" s="66" t="s">
        <v>360</v>
      </c>
      <c r="Q19" s="66" t="n">
        <f aca="false">IF(OR(H19="Initial Contact",H19="In Discussion",H19="Meeting Scheduled",H19="Engaged"),1,0)</f>
        <v>1</v>
      </c>
      <c r="R19" s="66" t="n">
        <f aca="false">IF(OR(K19="",K19&gt;Analysis!$B$3),"",Analysis!$B$3-K19)</f>
        <v>213</v>
      </c>
      <c r="S19" s="66" t="n">
        <f aca="false">IF(AND(Q19=1,L19&lt;&gt;"",L19&lt;Analysis!$B$3),1,0)</f>
        <v>1</v>
      </c>
      <c r="T19" s="66" t="n">
        <f aca="false">IF(Q19=1,IF(R19="",0,IF(R19&gt;Analysis!$B$4,1,0)),0)</f>
        <v>1</v>
      </c>
      <c r="U19" s="66" t="n">
        <f aca="false">IF(AND(Q19=1,L19=""),1,0)</f>
        <v>0</v>
      </c>
      <c r="V19" s="66" t="str">
        <f aca="false">IF(TRIM(F19)="","Missing",IF(IFERROR(FIND(".",F19,FIND("@",F19)),0)&gt;0,"Valid","Invalid"))</f>
        <v>Valid</v>
      </c>
      <c r="W19" s="66" t="str">
        <f aca="false">IF(TRIM(G19)="","Missing",IF(OR(AND(LEFT(G19,4)="+91 ",LEN(G19)=15),AND(LEFT(G19,7)="+91 11 ",LEN(G19)=16)),"Valid","Invalid"))</f>
        <v>Valid</v>
      </c>
      <c r="X19" s="66" t="n">
        <f aca="false">IF(AND(J19&lt;&gt;"",K19&lt;&gt;"",K19&lt;J19),1,0)</f>
        <v>0</v>
      </c>
      <c r="Y19" s="66" t="n">
        <f aca="false">IF(AND(K19&lt;&gt;"",K19&gt;Analysis!$B$3),1,0)</f>
        <v>0</v>
      </c>
      <c r="Z19" s="66" t="n">
        <f aca="false">IF(AND(Q19=1,ISNUMBER(SEARCH("declin",P19))),1,0)</f>
        <v>0</v>
      </c>
      <c r="AA19" s="66" t="n">
        <f aca="false">IF(Q19=1,S19*2+T19*2+U19+IF(I19="",1,0)+IF(N19="High",2,IF(N19="Medium",1,0)),0)</f>
        <v>5</v>
      </c>
      <c r="AB19" s="66" t="str">
        <f aca="false">IF(Q19=0,"",TRIM(IF(S19=1,"Follow-up overdue. ","")&amp;IF(T19=1,"No contact "&amp;Analysis!$B$4&amp;"+ days. ","")&amp;IF(U19=1,"No follow-up date. ","")&amp;IF(I19="","No owner. ","")&amp;IF(Z19=1,"Remarks conflict with status. ","")&amp;IF(X19=1,"Date error (last &lt; first). ","")&amp;IF(Y19=1,"Future-dated contact. ","")))</f>
        <v>Follow-up overdue. No contact 90+ days.</v>
      </c>
    </row>
    <row r="20" customFormat="false" ht="15" hidden="false" customHeight="false" outlineLevel="0" collapsed="false">
      <c r="A20" s="66" t="s">
        <v>361</v>
      </c>
      <c r="B20" s="66" t="s">
        <v>362</v>
      </c>
      <c r="C20" s="66" t="s">
        <v>207</v>
      </c>
      <c r="D20" s="66" t="s">
        <v>363</v>
      </c>
      <c r="E20" s="66" t="s">
        <v>348</v>
      </c>
      <c r="F20" s="66" t="s">
        <v>364</v>
      </c>
      <c r="G20" s="66" t="s">
        <v>365</v>
      </c>
      <c r="H20" s="66" t="s">
        <v>195</v>
      </c>
      <c r="I20" s="66" t="s">
        <v>217</v>
      </c>
      <c r="J20" s="67" t="n">
        <v>46168</v>
      </c>
      <c r="K20" s="67" t="n">
        <v>46273</v>
      </c>
      <c r="L20" s="67" t="n">
        <v>46379</v>
      </c>
      <c r="M20" s="66" t="n">
        <v>4</v>
      </c>
      <c r="N20" s="66" t="s">
        <v>106</v>
      </c>
      <c r="O20" s="66" t="s">
        <v>228</v>
      </c>
      <c r="P20" s="66" t="s">
        <v>274</v>
      </c>
      <c r="Q20" s="66" t="n">
        <f aca="false">IF(OR(H20="Initial Contact",H20="In Discussion",H20="Meeting Scheduled",H20="Engaged"),1,0)</f>
        <v>0</v>
      </c>
      <c r="R20" s="66" t="n">
        <f aca="false">IF(OR(K20="",K20&gt;Analysis!$B$3),"",Analysis!$B$3-K20)</f>
        <v>27</v>
      </c>
      <c r="S20" s="66" t="n">
        <f aca="false">IF(AND(Q20=1,L20&lt;&gt;"",L20&lt;Analysis!$B$3),1,0)</f>
        <v>0</v>
      </c>
      <c r="T20" s="66" t="n">
        <f aca="false">IF(Q20=1,IF(R20="",0,IF(R20&gt;Analysis!$B$4,1,0)),0)</f>
        <v>0</v>
      </c>
      <c r="U20" s="66" t="n">
        <f aca="false">IF(AND(Q20=1,L20=""),1,0)</f>
        <v>0</v>
      </c>
      <c r="V20" s="66" t="str">
        <f aca="false">IF(TRIM(F20)="","Missing",IF(IFERROR(FIND(".",F20,FIND("@",F20)),0)&gt;0,"Valid","Invalid"))</f>
        <v>Valid</v>
      </c>
      <c r="W20" s="66" t="str">
        <f aca="false">IF(TRIM(G20)="","Missing",IF(OR(AND(LEFT(G20,4)="+91 ",LEN(G20)=15),AND(LEFT(G20,7)="+91 11 ",LEN(G20)=16)),"Valid","Invalid"))</f>
        <v>Valid</v>
      </c>
      <c r="X20" s="66" t="n">
        <f aca="false">IF(AND(J20&lt;&gt;"",K20&lt;&gt;"",K20&lt;J20),1,0)</f>
        <v>0</v>
      </c>
      <c r="Y20" s="66" t="n">
        <f aca="false">IF(AND(K20&lt;&gt;"",K20&gt;Analysis!$B$3),1,0)</f>
        <v>0</v>
      </c>
      <c r="Z20" s="66" t="n">
        <f aca="false">IF(AND(Q20=1,ISNUMBER(SEARCH("declin",P20))),1,0)</f>
        <v>0</v>
      </c>
      <c r="AA20" s="66" t="n">
        <f aca="false">IF(Q20=1,S20*2+T20*2+U20+IF(I20="",1,0)+IF(N20="High",2,IF(N20="Medium",1,0)),0)</f>
        <v>0</v>
      </c>
      <c r="AB20" s="66" t="str">
        <f aca="false">IF(Q20=0,"",TRIM(IF(S20=1,"Follow-up overdue. ","")&amp;IF(T20=1,"No contact "&amp;Analysis!$B$4&amp;"+ days. ","")&amp;IF(U20=1,"No follow-up date. ","")&amp;IF(I20="","No owner. ","")&amp;IF(Z20=1,"Remarks conflict with status. ","")&amp;IF(X20=1,"Date error (last &lt; first). ","")&amp;IF(Y20=1,"Future-dated contact. ","")))</f>
        <v/>
      </c>
    </row>
    <row r="21" customFormat="false" ht="15" hidden="false" customHeight="false" outlineLevel="0" collapsed="false">
      <c r="A21" s="66" t="s">
        <v>35</v>
      </c>
      <c r="B21" s="66" t="s">
        <v>366</v>
      </c>
      <c r="C21" s="66" t="s">
        <v>207</v>
      </c>
      <c r="D21" s="66" t="s">
        <v>290</v>
      </c>
      <c r="E21" s="66" t="s">
        <v>336</v>
      </c>
      <c r="F21" s="66" t="s">
        <v>367</v>
      </c>
      <c r="G21" s="66" t="s">
        <v>368</v>
      </c>
      <c r="H21" s="66" t="s">
        <v>14</v>
      </c>
      <c r="I21" s="66" t="s">
        <v>221</v>
      </c>
      <c r="J21" s="67" t="n">
        <v>46002</v>
      </c>
      <c r="K21" s="67" t="n">
        <v>46083</v>
      </c>
      <c r="L21" s="67" t="n">
        <v>46122</v>
      </c>
      <c r="M21" s="66" t="n">
        <v>18</v>
      </c>
      <c r="N21" s="66" t="s">
        <v>64</v>
      </c>
      <c r="O21" s="66" t="s">
        <v>228</v>
      </c>
      <c r="P21" s="66" t="s">
        <v>281</v>
      </c>
      <c r="Q21" s="66" t="n">
        <f aca="false">IF(OR(H21="Initial Contact",H21="In Discussion",H21="Meeting Scheduled",H21="Engaged"),1,0)</f>
        <v>1</v>
      </c>
      <c r="R21" s="66" t="n">
        <f aca="false">IF(OR(K21="",K21&gt;Analysis!$B$3),"",Analysis!$B$3-K21)</f>
        <v>217</v>
      </c>
      <c r="S21" s="66" t="n">
        <f aca="false">IF(AND(Q21=1,L21&lt;&gt;"",L21&lt;Analysis!$B$3),1,0)</f>
        <v>1</v>
      </c>
      <c r="T21" s="66" t="n">
        <f aca="false">IF(Q21=1,IF(R21="",0,IF(R21&gt;Analysis!$B$4,1,0)),0)</f>
        <v>1</v>
      </c>
      <c r="U21" s="66" t="n">
        <f aca="false">IF(AND(Q21=1,L21=""),1,0)</f>
        <v>0</v>
      </c>
      <c r="V21" s="66" t="str">
        <f aca="false">IF(TRIM(F21)="","Missing",IF(IFERROR(FIND(".",F21,FIND("@",F21)),0)&gt;0,"Valid","Invalid"))</f>
        <v>Valid</v>
      </c>
      <c r="W21" s="66" t="str">
        <f aca="false">IF(TRIM(G21)="","Missing",IF(OR(AND(LEFT(G21,4)="+91 ",LEN(G21)=15),AND(LEFT(G21,7)="+91 11 ",LEN(G21)=16)),"Valid","Invalid"))</f>
        <v>Valid</v>
      </c>
      <c r="X21" s="66" t="n">
        <f aca="false">IF(AND(J21&lt;&gt;"",K21&lt;&gt;"",K21&lt;J21),1,0)</f>
        <v>0</v>
      </c>
      <c r="Y21" s="66" t="n">
        <f aca="false">IF(AND(K21&lt;&gt;"",K21&gt;Analysis!$B$3),1,0)</f>
        <v>0</v>
      </c>
      <c r="Z21" s="66" t="n">
        <f aca="false">IF(AND(Q21=1,ISNUMBER(SEARCH("declin",P21))),1,0)</f>
        <v>0</v>
      </c>
      <c r="AA21" s="66" t="n">
        <f aca="false">IF(Q21=1,S21*2+T21*2+U21+IF(I21="",1,0)+IF(N21="High",2,IF(N21="Medium",1,0)),0)</f>
        <v>6</v>
      </c>
      <c r="AB21" s="66" t="str">
        <f aca="false">IF(Q21=0,"",TRIM(IF(S21=1,"Follow-up overdue. ","")&amp;IF(T21=1,"No contact "&amp;Analysis!$B$4&amp;"+ days. ","")&amp;IF(U21=1,"No follow-up date. ","")&amp;IF(I21="","No owner. ","")&amp;IF(Z21=1,"Remarks conflict with status. ","")&amp;IF(X21=1,"Date error (last &lt; first). ","")&amp;IF(Y21=1,"Future-dated contact. ","")))</f>
        <v>Follow-up overdue. No contact 90+ days.</v>
      </c>
    </row>
    <row r="22" customFormat="false" ht="15" hidden="false" customHeight="false" outlineLevel="0" collapsed="false">
      <c r="A22" s="66" t="s">
        <v>369</v>
      </c>
      <c r="B22" s="66" t="s">
        <v>370</v>
      </c>
      <c r="C22" s="66" t="s">
        <v>208</v>
      </c>
      <c r="D22" s="66" t="s">
        <v>371</v>
      </c>
      <c r="E22" s="66" t="s">
        <v>259</v>
      </c>
      <c r="F22" s="66" t="s">
        <v>372</v>
      </c>
      <c r="G22" s="66" t="s">
        <v>373</v>
      </c>
      <c r="H22" s="66" t="s">
        <v>194</v>
      </c>
      <c r="I22" s="66" t="s">
        <v>220</v>
      </c>
      <c r="J22" s="67" t="n">
        <v>45820</v>
      </c>
      <c r="K22" s="67" t="n">
        <v>46252</v>
      </c>
      <c r="L22" s="67" t="n">
        <v>46280</v>
      </c>
      <c r="M22" s="66" t="n">
        <v>8</v>
      </c>
      <c r="N22" s="66" t="s">
        <v>85</v>
      </c>
      <c r="O22" s="66" t="s">
        <v>227</v>
      </c>
      <c r="P22" s="66" t="s">
        <v>327</v>
      </c>
      <c r="Q22" s="66" t="n">
        <f aca="false">IF(OR(H22="Initial Contact",H22="In Discussion",H22="Meeting Scheduled",H22="Engaged"),1,0)</f>
        <v>1</v>
      </c>
      <c r="R22" s="66" t="n">
        <f aca="false">IF(OR(K22="",K22&gt;Analysis!$B$3),"",Analysis!$B$3-K22)</f>
        <v>48</v>
      </c>
      <c r="S22" s="66" t="n">
        <f aca="false">IF(AND(Q22=1,L22&lt;&gt;"",L22&lt;Analysis!$B$3),1,0)</f>
        <v>1</v>
      </c>
      <c r="T22" s="66" t="n">
        <f aca="false">IF(Q22=1,IF(R22="",0,IF(R22&gt;Analysis!$B$4,1,0)),0)</f>
        <v>0</v>
      </c>
      <c r="U22" s="66" t="n">
        <f aca="false">IF(AND(Q22=1,L22=""),1,0)</f>
        <v>0</v>
      </c>
      <c r="V22" s="66" t="str">
        <f aca="false">IF(TRIM(F22)="","Missing",IF(IFERROR(FIND(".",F22,FIND("@",F22)),0)&gt;0,"Valid","Invalid"))</f>
        <v>Valid</v>
      </c>
      <c r="W22" s="66" t="str">
        <f aca="false">IF(TRIM(G22)="","Missing",IF(OR(AND(LEFT(G22,4)="+91 ",LEN(G22)=15),AND(LEFT(G22,7)="+91 11 ",LEN(G22)=16)),"Valid","Invalid"))</f>
        <v>Valid</v>
      </c>
      <c r="X22" s="66" t="n">
        <f aca="false">IF(AND(J22&lt;&gt;"",K22&lt;&gt;"",K22&lt;J22),1,0)</f>
        <v>0</v>
      </c>
      <c r="Y22" s="66" t="n">
        <f aca="false">IF(AND(K22&lt;&gt;"",K22&gt;Analysis!$B$3),1,0)</f>
        <v>0</v>
      </c>
      <c r="Z22" s="66" t="n">
        <f aca="false">IF(AND(Q22=1,ISNUMBER(SEARCH("declin",P22))),1,0)</f>
        <v>0</v>
      </c>
      <c r="AA22" s="66" t="n">
        <f aca="false">IF(Q22=1,S22*2+T22*2+U22+IF(I22="",1,0)+IF(N22="High",2,IF(N22="Medium",1,0)),0)</f>
        <v>3</v>
      </c>
      <c r="AB22" s="66" t="str">
        <f aca="false">IF(Q22=0,"",TRIM(IF(S22=1,"Follow-up overdue. ","")&amp;IF(T22=1,"No contact "&amp;Analysis!$B$4&amp;"+ days. ","")&amp;IF(U22=1,"No follow-up date. ","")&amp;IF(I22="","No owner. ","")&amp;IF(Z22=1,"Remarks conflict with status. ","")&amp;IF(X22=1,"Date error (last &lt; first). ","")&amp;IF(Y22=1,"Future-dated contact. ","")))</f>
        <v>Follow-up overdue.</v>
      </c>
    </row>
    <row r="23" customFormat="false" ht="15" hidden="false" customHeight="false" outlineLevel="0" collapsed="false">
      <c r="A23" s="66" t="s">
        <v>374</v>
      </c>
      <c r="B23" s="66" t="s">
        <v>375</v>
      </c>
      <c r="C23" s="66" t="s">
        <v>208</v>
      </c>
      <c r="D23" s="66" t="s">
        <v>376</v>
      </c>
      <c r="E23" s="66" t="s">
        <v>308</v>
      </c>
      <c r="F23" s="66" t="s">
        <v>377</v>
      </c>
      <c r="G23" s="66" t="s">
        <v>378</v>
      </c>
      <c r="H23" s="66" t="s">
        <v>14</v>
      </c>
      <c r="I23" s="66" t="s">
        <v>218</v>
      </c>
      <c r="J23" s="67" t="n">
        <v>45945</v>
      </c>
      <c r="K23" s="67" t="n">
        <v>46253</v>
      </c>
      <c r="L23" s="67" t="n">
        <v>46275</v>
      </c>
      <c r="M23" s="66" t="n">
        <v>0</v>
      </c>
      <c r="N23" s="66"/>
      <c r="O23" s="66" t="s">
        <v>227</v>
      </c>
      <c r="P23" s="66" t="s">
        <v>379</v>
      </c>
      <c r="Q23" s="66" t="n">
        <f aca="false">IF(OR(H23="Initial Contact",H23="In Discussion",H23="Meeting Scheduled",H23="Engaged"),1,0)</f>
        <v>1</v>
      </c>
      <c r="R23" s="66" t="n">
        <f aca="false">IF(OR(K23="",K23&gt;Analysis!$B$3),"",Analysis!$B$3-K23)</f>
        <v>47</v>
      </c>
      <c r="S23" s="66" t="n">
        <f aca="false">IF(AND(Q23=1,L23&lt;&gt;"",L23&lt;Analysis!$B$3),1,0)</f>
        <v>1</v>
      </c>
      <c r="T23" s="66" t="n">
        <f aca="false">IF(Q23=1,IF(R23="",0,IF(R23&gt;Analysis!$B$4,1,0)),0)</f>
        <v>0</v>
      </c>
      <c r="U23" s="66" t="n">
        <f aca="false">IF(AND(Q23=1,L23=""),1,0)</f>
        <v>0</v>
      </c>
      <c r="V23" s="66" t="str">
        <f aca="false">IF(TRIM(F23)="","Missing",IF(IFERROR(FIND(".",F23,FIND("@",F23)),0)&gt;0,"Valid","Invalid"))</f>
        <v>Valid</v>
      </c>
      <c r="W23" s="66" t="str">
        <f aca="false">IF(TRIM(G23)="","Missing",IF(OR(AND(LEFT(G23,4)="+91 ",LEN(G23)=15),AND(LEFT(G23,7)="+91 11 ",LEN(G23)=16)),"Valid","Invalid"))</f>
        <v>Valid</v>
      </c>
      <c r="X23" s="66" t="n">
        <f aca="false">IF(AND(J23&lt;&gt;"",K23&lt;&gt;"",K23&lt;J23),1,0)</f>
        <v>0</v>
      </c>
      <c r="Y23" s="66" t="n">
        <f aca="false">IF(AND(K23&lt;&gt;"",K23&gt;Analysis!$B$3),1,0)</f>
        <v>0</v>
      </c>
      <c r="Z23" s="66" t="n">
        <f aca="false">IF(AND(Q23=1,ISNUMBER(SEARCH("declin",P23))),1,0)</f>
        <v>1</v>
      </c>
      <c r="AA23" s="66" t="n">
        <f aca="false">IF(Q23=1,S23*2+T23*2+U23+IF(I23="",1,0)+IF(N23="High",2,IF(N23="Medium",1,0)),0)</f>
        <v>2</v>
      </c>
      <c r="AB23" s="66" t="str">
        <f aca="false">IF(Q23=0,"",TRIM(IF(S23=1,"Follow-up overdue. ","")&amp;IF(T23=1,"No contact "&amp;Analysis!$B$4&amp;"+ days. ","")&amp;IF(U23=1,"No follow-up date. ","")&amp;IF(I23="","No owner. ","")&amp;IF(Z23=1,"Remarks conflict with status. ","")&amp;IF(X23=1,"Date error (last &lt; first). ","")&amp;IF(Y23=1,"Future-dated contact. ","")))</f>
        <v>Follow-up overdue. Remarks conflict with status.</v>
      </c>
    </row>
    <row r="24" customFormat="false" ht="15" hidden="false" customHeight="false" outlineLevel="0" collapsed="false">
      <c r="A24" s="66" t="s">
        <v>380</v>
      </c>
      <c r="B24" s="66" t="s">
        <v>381</v>
      </c>
      <c r="C24" s="66" t="s">
        <v>208</v>
      </c>
      <c r="D24" s="66" t="s">
        <v>347</v>
      </c>
      <c r="E24" s="66" t="s">
        <v>308</v>
      </c>
      <c r="F24" s="66" t="s">
        <v>382</v>
      </c>
      <c r="G24" s="66" t="s">
        <v>383</v>
      </c>
      <c r="H24" s="66" t="s">
        <v>14</v>
      </c>
      <c r="I24" s="66" t="s">
        <v>218</v>
      </c>
      <c r="J24" s="67" t="n">
        <v>45769</v>
      </c>
      <c r="K24" s="67" t="n">
        <v>46292</v>
      </c>
      <c r="L24" s="67" t="n">
        <v>46335</v>
      </c>
      <c r="M24" s="66" t="n">
        <v>8</v>
      </c>
      <c r="N24" s="66" t="s">
        <v>64</v>
      </c>
      <c r="O24" s="66" t="s">
        <v>97</v>
      </c>
      <c r="P24" s="66" t="s">
        <v>384</v>
      </c>
      <c r="Q24" s="66" t="n">
        <f aca="false">IF(OR(H24="Initial Contact",H24="In Discussion",H24="Meeting Scheduled",H24="Engaged"),1,0)</f>
        <v>1</v>
      </c>
      <c r="R24" s="66" t="n">
        <f aca="false">IF(OR(K24="",K24&gt;Analysis!$B$3),"",Analysis!$B$3-K24)</f>
        <v>8</v>
      </c>
      <c r="S24" s="66" t="n">
        <f aca="false">IF(AND(Q24=1,L24&lt;&gt;"",L24&lt;Analysis!$B$3),1,0)</f>
        <v>0</v>
      </c>
      <c r="T24" s="66" t="n">
        <f aca="false">IF(Q24=1,IF(R24="",0,IF(R24&gt;Analysis!$B$4,1,0)),0)</f>
        <v>0</v>
      </c>
      <c r="U24" s="66" t="n">
        <f aca="false">IF(AND(Q24=1,L24=""),1,0)</f>
        <v>0</v>
      </c>
      <c r="V24" s="66" t="str">
        <f aca="false">IF(TRIM(F24)="","Missing",IF(IFERROR(FIND(".",F24,FIND("@",F24)),0)&gt;0,"Valid","Invalid"))</f>
        <v>Valid</v>
      </c>
      <c r="W24" s="66" t="str">
        <f aca="false">IF(TRIM(G24)="","Missing",IF(OR(AND(LEFT(G24,4)="+91 ",LEN(G24)=15),AND(LEFT(G24,7)="+91 11 ",LEN(G24)=16)),"Valid","Invalid"))</f>
        <v>Valid</v>
      </c>
      <c r="X24" s="66" t="n">
        <f aca="false">IF(AND(J24&lt;&gt;"",K24&lt;&gt;"",K24&lt;J24),1,0)</f>
        <v>0</v>
      </c>
      <c r="Y24" s="66" t="n">
        <f aca="false">IF(AND(K24&lt;&gt;"",K24&gt;Analysis!$B$3),1,0)</f>
        <v>0</v>
      </c>
      <c r="Z24" s="66" t="n">
        <f aca="false">IF(AND(Q24=1,ISNUMBER(SEARCH("declin",P24))),1,0)</f>
        <v>0</v>
      </c>
      <c r="AA24" s="66" t="n">
        <f aca="false">IF(Q24=1,S24*2+T24*2+U24+IF(I24="",1,0)+IF(N24="High",2,IF(N24="Medium",1,0)),0)</f>
        <v>2</v>
      </c>
      <c r="AB24" s="66" t="str">
        <f aca="false">IF(Q24=0,"",TRIM(IF(S24=1,"Follow-up overdue. ","")&amp;IF(T24=1,"No contact "&amp;Analysis!$B$4&amp;"+ days. ","")&amp;IF(U24=1,"No follow-up date. ","")&amp;IF(I24="","No owner. ","")&amp;IF(Z24=1,"Remarks conflict with status. ","")&amp;IF(X24=1,"Date error (last &lt; first). ","")&amp;IF(Y24=1,"Future-dated contact. ","")))</f>
        <v/>
      </c>
    </row>
    <row r="25" customFormat="false" ht="15" hidden="false" customHeight="false" outlineLevel="0" collapsed="false">
      <c r="A25" s="66" t="s">
        <v>36</v>
      </c>
      <c r="B25" s="66" t="s">
        <v>385</v>
      </c>
      <c r="C25" s="66" t="s">
        <v>208</v>
      </c>
      <c r="D25" s="66" t="s">
        <v>386</v>
      </c>
      <c r="E25" s="66" t="s">
        <v>278</v>
      </c>
      <c r="F25" s="66" t="s">
        <v>387</v>
      </c>
      <c r="G25" s="66" t="s">
        <v>388</v>
      </c>
      <c r="H25" s="66" t="s">
        <v>192</v>
      </c>
      <c r="I25" s="66"/>
      <c r="J25" s="67" t="n">
        <v>46172</v>
      </c>
      <c r="K25" s="67" t="n">
        <v>46173</v>
      </c>
      <c r="L25" s="67" t="n">
        <v>46228</v>
      </c>
      <c r="M25" s="66" t="n">
        <v>2</v>
      </c>
      <c r="N25" s="66" t="s">
        <v>85</v>
      </c>
      <c r="O25" s="66" t="s">
        <v>227</v>
      </c>
      <c r="P25" s="66" t="s">
        <v>268</v>
      </c>
      <c r="Q25" s="66" t="n">
        <f aca="false">IF(OR(H25="Initial Contact",H25="In Discussion",H25="Meeting Scheduled",H25="Engaged"),1,0)</f>
        <v>1</v>
      </c>
      <c r="R25" s="66" t="n">
        <f aca="false">IF(OR(K25="",K25&gt;Analysis!$B$3),"",Analysis!$B$3-K25)</f>
        <v>127</v>
      </c>
      <c r="S25" s="66" t="n">
        <f aca="false">IF(AND(Q25=1,L25&lt;&gt;"",L25&lt;Analysis!$B$3),1,0)</f>
        <v>1</v>
      </c>
      <c r="T25" s="66" t="n">
        <f aca="false">IF(Q25=1,IF(R25="",0,IF(R25&gt;Analysis!$B$4,1,0)),0)</f>
        <v>1</v>
      </c>
      <c r="U25" s="66" t="n">
        <f aca="false">IF(AND(Q25=1,L25=""),1,0)</f>
        <v>0</v>
      </c>
      <c r="V25" s="66" t="str">
        <f aca="false">IF(TRIM(F25)="","Missing",IF(IFERROR(FIND(".",F25,FIND("@",F25)),0)&gt;0,"Valid","Invalid"))</f>
        <v>Valid</v>
      </c>
      <c r="W25" s="66" t="str">
        <f aca="false">IF(TRIM(G25)="","Missing",IF(OR(AND(LEFT(G25,4)="+91 ",LEN(G25)=15),AND(LEFT(G25,7)="+91 11 ",LEN(G25)=16)),"Valid","Invalid"))</f>
        <v>Valid</v>
      </c>
      <c r="X25" s="66" t="n">
        <f aca="false">IF(AND(J25&lt;&gt;"",K25&lt;&gt;"",K25&lt;J25),1,0)</f>
        <v>0</v>
      </c>
      <c r="Y25" s="66" t="n">
        <f aca="false">IF(AND(K25&lt;&gt;"",K25&gt;Analysis!$B$3),1,0)</f>
        <v>0</v>
      </c>
      <c r="Z25" s="66" t="n">
        <f aca="false">IF(AND(Q25=1,ISNUMBER(SEARCH("declin",P25))),1,0)</f>
        <v>0</v>
      </c>
      <c r="AA25" s="66" t="n">
        <f aca="false">IF(Q25=1,S25*2+T25*2+U25+IF(I25="",1,0)+IF(N25="High",2,IF(N25="Medium",1,0)),0)</f>
        <v>6</v>
      </c>
      <c r="AB25" s="66" t="str">
        <f aca="false">IF(Q25=0,"",TRIM(IF(S25=1,"Follow-up overdue. ","")&amp;IF(T25=1,"No contact "&amp;Analysis!$B$4&amp;"+ days. ","")&amp;IF(U25=1,"No follow-up date. ","")&amp;IF(I25="","No owner. ","")&amp;IF(Z25=1,"Remarks conflict with status. ","")&amp;IF(X25=1,"Date error (last &lt; first). ","")&amp;IF(Y25=1,"Future-dated contact. ","")))</f>
        <v>Follow-up overdue. No contact 90+ days. No owner.</v>
      </c>
    </row>
    <row r="26" customFormat="false" ht="15" hidden="false" customHeight="false" outlineLevel="0" collapsed="false">
      <c r="A26" s="66" t="s">
        <v>389</v>
      </c>
      <c r="B26" s="66" t="s">
        <v>390</v>
      </c>
      <c r="C26" s="66" t="s">
        <v>208</v>
      </c>
      <c r="D26" s="66" t="s">
        <v>391</v>
      </c>
      <c r="E26" s="66" t="s">
        <v>278</v>
      </c>
      <c r="F26" s="66" t="s">
        <v>392</v>
      </c>
      <c r="G26" s="66" t="s">
        <v>393</v>
      </c>
      <c r="H26" s="66" t="s">
        <v>192</v>
      </c>
      <c r="I26" s="66" t="s">
        <v>219</v>
      </c>
      <c r="J26" s="67" t="n">
        <v>45997</v>
      </c>
      <c r="K26" s="67" t="n">
        <v>46246</v>
      </c>
      <c r="L26" s="67" t="n">
        <v>46271</v>
      </c>
      <c r="M26" s="66" t="n">
        <v>1</v>
      </c>
      <c r="N26" s="66" t="s">
        <v>85</v>
      </c>
      <c r="O26" s="66" t="s">
        <v>227</v>
      </c>
      <c r="P26" s="66" t="s">
        <v>350</v>
      </c>
      <c r="Q26" s="66" t="n">
        <f aca="false">IF(OR(H26="Initial Contact",H26="In Discussion",H26="Meeting Scheduled",H26="Engaged"),1,0)</f>
        <v>1</v>
      </c>
      <c r="R26" s="66" t="n">
        <f aca="false">IF(OR(K26="",K26&gt;Analysis!$B$3),"",Analysis!$B$3-K26)</f>
        <v>54</v>
      </c>
      <c r="S26" s="66" t="n">
        <f aca="false">IF(AND(Q26=1,L26&lt;&gt;"",L26&lt;Analysis!$B$3),1,0)</f>
        <v>1</v>
      </c>
      <c r="T26" s="66" t="n">
        <f aca="false">IF(Q26=1,IF(R26="",0,IF(R26&gt;Analysis!$B$4,1,0)),0)</f>
        <v>0</v>
      </c>
      <c r="U26" s="66" t="n">
        <f aca="false">IF(AND(Q26=1,L26=""),1,0)</f>
        <v>0</v>
      </c>
      <c r="V26" s="66" t="str">
        <f aca="false">IF(TRIM(F26)="","Missing",IF(IFERROR(FIND(".",F26,FIND("@",F26)),0)&gt;0,"Valid","Invalid"))</f>
        <v>Valid</v>
      </c>
      <c r="W26" s="66" t="str">
        <f aca="false">IF(TRIM(G26)="","Missing",IF(OR(AND(LEFT(G26,4)="+91 ",LEN(G26)=15),AND(LEFT(G26,7)="+91 11 ",LEN(G26)=16)),"Valid","Invalid"))</f>
        <v>Invalid</v>
      </c>
      <c r="X26" s="66" t="n">
        <f aca="false">IF(AND(J26&lt;&gt;"",K26&lt;&gt;"",K26&lt;J26),1,0)</f>
        <v>0</v>
      </c>
      <c r="Y26" s="66" t="n">
        <f aca="false">IF(AND(K26&lt;&gt;"",K26&gt;Analysis!$B$3),1,0)</f>
        <v>0</v>
      </c>
      <c r="Z26" s="66" t="n">
        <f aca="false">IF(AND(Q26=1,ISNUMBER(SEARCH("declin",P26))),1,0)</f>
        <v>0</v>
      </c>
      <c r="AA26" s="66" t="n">
        <f aca="false">IF(Q26=1,S26*2+T26*2+U26+IF(I26="",1,0)+IF(N26="High",2,IF(N26="Medium",1,0)),0)</f>
        <v>3</v>
      </c>
      <c r="AB26" s="66" t="str">
        <f aca="false">IF(Q26=0,"",TRIM(IF(S26=1,"Follow-up overdue. ","")&amp;IF(T26=1,"No contact "&amp;Analysis!$B$4&amp;"+ days. ","")&amp;IF(U26=1,"No follow-up date. ","")&amp;IF(I26="","No owner. ","")&amp;IF(Z26=1,"Remarks conflict with status. ","")&amp;IF(X26=1,"Date error (last &lt; first). ","")&amp;IF(Y26=1,"Future-dated contact. ","")))</f>
        <v>Follow-up overdue.</v>
      </c>
    </row>
    <row r="27" customFormat="false" ht="15" hidden="false" customHeight="false" outlineLevel="0" collapsed="false">
      <c r="A27" s="66" t="s">
        <v>394</v>
      </c>
      <c r="B27" s="66" t="s">
        <v>395</v>
      </c>
      <c r="C27" s="66" t="s">
        <v>208</v>
      </c>
      <c r="D27" s="66" t="s">
        <v>396</v>
      </c>
      <c r="E27" s="66" t="s">
        <v>259</v>
      </c>
      <c r="F27" s="66" t="s">
        <v>397</v>
      </c>
      <c r="G27" s="66" t="s">
        <v>398</v>
      </c>
      <c r="H27" s="66" t="s">
        <v>196</v>
      </c>
      <c r="I27" s="66" t="s">
        <v>222</v>
      </c>
      <c r="J27" s="67" t="n">
        <v>45811</v>
      </c>
      <c r="K27" s="67" t="n">
        <v>46216</v>
      </c>
      <c r="L27" s="67"/>
      <c r="M27" s="66" t="n">
        <v>2</v>
      </c>
      <c r="N27" s="66" t="s">
        <v>106</v>
      </c>
      <c r="O27" s="66" t="s">
        <v>97</v>
      </c>
      <c r="P27" s="66" t="s">
        <v>399</v>
      </c>
      <c r="Q27" s="66" t="n">
        <f aca="false">IF(OR(H27="Initial Contact",H27="In Discussion",H27="Meeting Scheduled",H27="Engaged"),1,0)</f>
        <v>0</v>
      </c>
      <c r="R27" s="66" t="n">
        <f aca="false">IF(OR(K27="",K27&gt;Analysis!$B$3),"",Analysis!$B$3-K27)</f>
        <v>84</v>
      </c>
      <c r="S27" s="66" t="n">
        <f aca="false">IF(AND(Q27=1,L27&lt;&gt;"",L27&lt;Analysis!$B$3),1,0)</f>
        <v>0</v>
      </c>
      <c r="T27" s="66" t="n">
        <f aca="false">IF(Q27=1,IF(R27="",0,IF(R27&gt;Analysis!$B$4,1,0)),0)</f>
        <v>0</v>
      </c>
      <c r="U27" s="66" t="n">
        <f aca="false">IF(AND(Q27=1,L27=""),1,0)</f>
        <v>0</v>
      </c>
      <c r="V27" s="66" t="str">
        <f aca="false">IF(TRIM(F27)="","Missing",IF(IFERROR(FIND(".",F27,FIND("@",F27)),0)&gt;0,"Valid","Invalid"))</f>
        <v>Valid</v>
      </c>
      <c r="W27" s="66" t="str">
        <f aca="false">IF(TRIM(G27)="","Missing",IF(OR(AND(LEFT(G27,4)="+91 ",LEN(G27)=15),AND(LEFT(G27,7)="+91 11 ",LEN(G27)=16)),"Valid","Invalid"))</f>
        <v>Valid</v>
      </c>
      <c r="X27" s="66" t="n">
        <f aca="false">IF(AND(J27&lt;&gt;"",K27&lt;&gt;"",K27&lt;J27),1,0)</f>
        <v>0</v>
      </c>
      <c r="Y27" s="66" t="n">
        <f aca="false">IF(AND(K27&lt;&gt;"",K27&gt;Analysis!$B$3),1,0)</f>
        <v>0</v>
      </c>
      <c r="Z27" s="66" t="n">
        <f aca="false">IF(AND(Q27=1,ISNUMBER(SEARCH("declin",P27))),1,0)</f>
        <v>0</v>
      </c>
      <c r="AA27" s="66" t="n">
        <f aca="false">IF(Q27=1,S27*2+T27*2+U27+IF(I27="",1,0)+IF(N27="High",2,IF(N27="Medium",1,0)),0)</f>
        <v>0</v>
      </c>
      <c r="AB27" s="66" t="str">
        <f aca="false">IF(Q27=0,"",TRIM(IF(S27=1,"Follow-up overdue. ","")&amp;IF(T27=1,"No contact "&amp;Analysis!$B$4&amp;"+ days. ","")&amp;IF(U27=1,"No follow-up date. ","")&amp;IF(I27="","No owner. ","")&amp;IF(Z27=1,"Remarks conflict with status. ","")&amp;IF(X27=1,"Date error (last &lt; first). ","")&amp;IF(Y27=1,"Future-dated contact. ","")))</f>
        <v/>
      </c>
    </row>
    <row r="28" customFormat="false" ht="15" hidden="false" customHeight="false" outlineLevel="0" collapsed="false">
      <c r="A28" s="66" t="s">
        <v>400</v>
      </c>
      <c r="B28" s="66" t="s">
        <v>401</v>
      </c>
      <c r="C28" s="66" t="s">
        <v>208</v>
      </c>
      <c r="D28" s="66" t="s">
        <v>402</v>
      </c>
      <c r="E28" s="66" t="s">
        <v>308</v>
      </c>
      <c r="F28" s="66" t="s">
        <v>403</v>
      </c>
      <c r="G28" s="66" t="s">
        <v>404</v>
      </c>
      <c r="H28" s="66" t="s">
        <v>14</v>
      </c>
      <c r="I28" s="66" t="s">
        <v>219</v>
      </c>
      <c r="J28" s="67" t="n">
        <v>46140</v>
      </c>
      <c r="K28" s="67" t="n">
        <v>46277</v>
      </c>
      <c r="L28" s="67" t="n">
        <v>46294</v>
      </c>
      <c r="M28" s="66" t="n">
        <v>12</v>
      </c>
      <c r="N28" s="66" t="s">
        <v>64</v>
      </c>
      <c r="O28" s="66" t="s">
        <v>228</v>
      </c>
      <c r="P28" s="66" t="s">
        <v>405</v>
      </c>
      <c r="Q28" s="66" t="n">
        <f aca="false">IF(OR(H28="Initial Contact",H28="In Discussion",H28="Meeting Scheduled",H28="Engaged"),1,0)</f>
        <v>1</v>
      </c>
      <c r="R28" s="66" t="n">
        <f aca="false">IF(OR(K28="",K28&gt;Analysis!$B$3),"",Analysis!$B$3-K28)</f>
        <v>23</v>
      </c>
      <c r="S28" s="66" t="n">
        <f aca="false">IF(AND(Q28=1,L28&lt;&gt;"",L28&lt;Analysis!$B$3),1,0)</f>
        <v>1</v>
      </c>
      <c r="T28" s="66" t="n">
        <f aca="false">IF(Q28=1,IF(R28="",0,IF(R28&gt;Analysis!$B$4,1,0)),0)</f>
        <v>0</v>
      </c>
      <c r="U28" s="66" t="n">
        <f aca="false">IF(AND(Q28=1,L28=""),1,0)</f>
        <v>0</v>
      </c>
      <c r="V28" s="66" t="str">
        <f aca="false">IF(TRIM(F28)="","Missing",IF(IFERROR(FIND(".",F28,FIND("@",F28)),0)&gt;0,"Valid","Invalid"))</f>
        <v>Valid</v>
      </c>
      <c r="W28" s="66" t="str">
        <f aca="false">IF(TRIM(G28)="","Missing",IF(OR(AND(LEFT(G28,4)="+91 ",LEN(G28)=15),AND(LEFT(G28,7)="+91 11 ",LEN(G28)=16)),"Valid","Invalid"))</f>
        <v>Valid</v>
      </c>
      <c r="X28" s="66" t="n">
        <f aca="false">IF(AND(J28&lt;&gt;"",K28&lt;&gt;"",K28&lt;J28),1,0)</f>
        <v>0</v>
      </c>
      <c r="Y28" s="66" t="n">
        <f aca="false">IF(AND(K28&lt;&gt;"",K28&gt;Analysis!$B$3),1,0)</f>
        <v>0</v>
      </c>
      <c r="Z28" s="66" t="n">
        <f aca="false">IF(AND(Q28=1,ISNUMBER(SEARCH("declin",P28))),1,0)</f>
        <v>0</v>
      </c>
      <c r="AA28" s="66" t="n">
        <f aca="false">IF(Q28=1,S28*2+T28*2+U28+IF(I28="",1,0)+IF(N28="High",2,IF(N28="Medium",1,0)),0)</f>
        <v>4</v>
      </c>
      <c r="AB28" s="66" t="str">
        <f aca="false">IF(Q28=0,"",TRIM(IF(S28=1,"Follow-up overdue. ","")&amp;IF(T28=1,"No contact "&amp;Analysis!$B$4&amp;"+ days. ","")&amp;IF(U28=1,"No follow-up date. ","")&amp;IF(I28="","No owner. ","")&amp;IF(Z28=1,"Remarks conflict with status. ","")&amp;IF(X28=1,"Date error (last &lt; first). ","")&amp;IF(Y28=1,"Future-dated contact. ","")))</f>
        <v>Follow-up overdue.</v>
      </c>
    </row>
    <row r="29" customFormat="false" ht="15" hidden="false" customHeight="false" outlineLevel="0" collapsed="false">
      <c r="A29" s="66" t="s">
        <v>406</v>
      </c>
      <c r="B29" s="66" t="s">
        <v>407</v>
      </c>
      <c r="C29" s="66" t="s">
        <v>208</v>
      </c>
      <c r="D29" s="66" t="s">
        <v>408</v>
      </c>
      <c r="E29" s="66" t="s">
        <v>265</v>
      </c>
      <c r="F29" s="66" t="s">
        <v>409</v>
      </c>
      <c r="G29" s="66" t="s">
        <v>410</v>
      </c>
      <c r="H29" s="66" t="s">
        <v>21</v>
      </c>
      <c r="I29" s="66" t="s">
        <v>221</v>
      </c>
      <c r="J29" s="67"/>
      <c r="K29" s="67" t="n">
        <v>46199</v>
      </c>
      <c r="L29" s="67"/>
      <c r="M29" s="66" t="n">
        <v>1</v>
      </c>
      <c r="N29" s="66"/>
      <c r="O29" s="66"/>
      <c r="P29" s="66" t="s">
        <v>293</v>
      </c>
      <c r="Q29" s="66" t="n">
        <f aca="false">IF(OR(H29="Initial Contact",H29="In Discussion",H29="Meeting Scheduled",H29="Engaged"),1,0)</f>
        <v>0</v>
      </c>
      <c r="R29" s="66" t="n">
        <f aca="false">IF(OR(K29="",K29&gt;Analysis!$B$3),"",Analysis!$B$3-K29)</f>
        <v>101</v>
      </c>
      <c r="S29" s="66" t="n">
        <f aca="false">IF(AND(Q29=1,L29&lt;&gt;"",L29&lt;Analysis!$B$3),1,0)</f>
        <v>0</v>
      </c>
      <c r="T29" s="66" t="n">
        <f aca="false">IF(Q29=1,IF(R29="",0,IF(R29&gt;Analysis!$B$4,1,0)),0)</f>
        <v>0</v>
      </c>
      <c r="U29" s="66" t="n">
        <f aca="false">IF(AND(Q29=1,L29=""),1,0)</f>
        <v>0</v>
      </c>
      <c r="V29" s="66" t="str">
        <f aca="false">IF(TRIM(F29)="","Missing",IF(IFERROR(FIND(".",F29,FIND("@",F29)),0)&gt;0,"Valid","Invalid"))</f>
        <v>Valid</v>
      </c>
      <c r="W29" s="66" t="str">
        <f aca="false">IF(TRIM(G29)="","Missing",IF(OR(AND(LEFT(G29,4)="+91 ",LEN(G29)=15),AND(LEFT(G29,7)="+91 11 ",LEN(G29)=16)),"Valid","Invalid"))</f>
        <v>Valid</v>
      </c>
      <c r="X29" s="66" t="n">
        <f aca="false">IF(AND(J29&lt;&gt;"",K29&lt;&gt;"",K29&lt;J29),1,0)</f>
        <v>0</v>
      </c>
      <c r="Y29" s="66" t="n">
        <f aca="false">IF(AND(K29&lt;&gt;"",K29&gt;Analysis!$B$3),1,0)</f>
        <v>0</v>
      </c>
      <c r="Z29" s="66" t="n">
        <f aca="false">IF(AND(Q29=1,ISNUMBER(SEARCH("declin",P29))),1,0)</f>
        <v>0</v>
      </c>
      <c r="AA29" s="66" t="n">
        <f aca="false">IF(Q29=1,S29*2+T29*2+U29+IF(I29="",1,0)+IF(N29="High",2,IF(N29="Medium",1,0)),0)</f>
        <v>0</v>
      </c>
      <c r="AB29" s="66" t="str">
        <f aca="false">IF(Q29=0,"",TRIM(IF(S29=1,"Follow-up overdue. ","")&amp;IF(T29=1,"No contact "&amp;Analysis!$B$4&amp;"+ days. ","")&amp;IF(U29=1,"No follow-up date. ","")&amp;IF(I29="","No owner. ","")&amp;IF(Z29=1,"Remarks conflict with status. ","")&amp;IF(X29=1,"Date error (last &lt; first). ","")&amp;IF(Y29=1,"Future-dated contact. ","")))</f>
        <v/>
      </c>
    </row>
    <row r="30" customFormat="false" ht="15" hidden="false" customHeight="false" outlineLevel="0" collapsed="false">
      <c r="A30" s="66" t="s">
        <v>411</v>
      </c>
      <c r="B30" s="66" t="s">
        <v>412</v>
      </c>
      <c r="C30" s="66" t="s">
        <v>208</v>
      </c>
      <c r="D30" s="66" t="s">
        <v>413</v>
      </c>
      <c r="E30" s="66" t="s">
        <v>308</v>
      </c>
      <c r="F30" s="66" t="s">
        <v>414</v>
      </c>
      <c r="G30" s="66" t="s">
        <v>415</v>
      </c>
      <c r="H30" s="66" t="s">
        <v>193</v>
      </c>
      <c r="I30" s="66" t="s">
        <v>220</v>
      </c>
      <c r="J30" s="67" t="n">
        <v>46053</v>
      </c>
      <c r="K30" s="67" t="n">
        <v>46272</v>
      </c>
      <c r="L30" s="67" t="n">
        <v>46313</v>
      </c>
      <c r="M30" s="66" t="n">
        <v>6</v>
      </c>
      <c r="N30" s="66" t="s">
        <v>85</v>
      </c>
      <c r="O30" s="66" t="s">
        <v>97</v>
      </c>
      <c r="P30" s="66" t="s">
        <v>360</v>
      </c>
      <c r="Q30" s="66" t="n">
        <f aca="false">IF(OR(H30="Initial Contact",H30="In Discussion",H30="Meeting Scheduled",H30="Engaged"),1,0)</f>
        <v>1</v>
      </c>
      <c r="R30" s="66" t="n">
        <f aca="false">IF(OR(K30="",K30&gt;Analysis!$B$3),"",Analysis!$B$3-K30)</f>
        <v>28</v>
      </c>
      <c r="S30" s="66" t="n">
        <f aca="false">IF(AND(Q30=1,L30&lt;&gt;"",L30&lt;Analysis!$B$3),1,0)</f>
        <v>0</v>
      </c>
      <c r="T30" s="66" t="n">
        <f aca="false">IF(Q30=1,IF(R30="",0,IF(R30&gt;Analysis!$B$4,1,0)),0)</f>
        <v>0</v>
      </c>
      <c r="U30" s="66" t="n">
        <f aca="false">IF(AND(Q30=1,L30=""),1,0)</f>
        <v>0</v>
      </c>
      <c r="V30" s="66" t="str">
        <f aca="false">IF(TRIM(F30)="","Missing",IF(IFERROR(FIND(".",F30,FIND("@",F30)),0)&gt;0,"Valid","Invalid"))</f>
        <v>Valid</v>
      </c>
      <c r="W30" s="66" t="str">
        <f aca="false">IF(TRIM(G30)="","Missing",IF(OR(AND(LEFT(G30,4)="+91 ",LEN(G30)=15),AND(LEFT(G30,7)="+91 11 ",LEN(G30)=16)),"Valid","Invalid"))</f>
        <v>Valid</v>
      </c>
      <c r="X30" s="66" t="n">
        <f aca="false">IF(AND(J30&lt;&gt;"",K30&lt;&gt;"",K30&lt;J30),1,0)</f>
        <v>0</v>
      </c>
      <c r="Y30" s="66" t="n">
        <f aca="false">IF(AND(K30&lt;&gt;"",K30&gt;Analysis!$B$3),1,0)</f>
        <v>0</v>
      </c>
      <c r="Z30" s="66" t="n">
        <f aca="false">IF(AND(Q30=1,ISNUMBER(SEARCH("declin",P30))),1,0)</f>
        <v>0</v>
      </c>
      <c r="AA30" s="66" t="n">
        <f aca="false">IF(Q30=1,S30*2+T30*2+U30+IF(I30="",1,0)+IF(N30="High",2,IF(N30="Medium",1,0)),0)</f>
        <v>1</v>
      </c>
      <c r="AB30" s="66" t="str">
        <f aca="false">IF(Q30=0,"",TRIM(IF(S30=1,"Follow-up overdue. ","")&amp;IF(T30=1,"No contact "&amp;Analysis!$B$4&amp;"+ days. ","")&amp;IF(U30=1,"No follow-up date. ","")&amp;IF(I30="","No owner. ","")&amp;IF(Z30=1,"Remarks conflict with status. ","")&amp;IF(X30=1,"Date error (last &lt; first). ","")&amp;IF(Y30=1,"Future-dated contact. ","")))</f>
        <v/>
      </c>
    </row>
    <row r="31" customFormat="false" ht="15" hidden="false" customHeight="false" outlineLevel="0" collapsed="false">
      <c r="A31" s="66" t="s">
        <v>416</v>
      </c>
      <c r="B31" s="66" t="s">
        <v>417</v>
      </c>
      <c r="C31" s="66" t="s">
        <v>208</v>
      </c>
      <c r="D31" s="66" t="s">
        <v>418</v>
      </c>
      <c r="E31" s="66" t="s">
        <v>348</v>
      </c>
      <c r="F31" s="66" t="s">
        <v>419</v>
      </c>
      <c r="G31" s="66" t="s">
        <v>420</v>
      </c>
      <c r="H31" s="66" t="s">
        <v>195</v>
      </c>
      <c r="I31" s="66" t="s">
        <v>220</v>
      </c>
      <c r="J31" s="67" t="n">
        <v>46232</v>
      </c>
      <c r="K31" s="67" t="n">
        <v>46241</v>
      </c>
      <c r="L31" s="67" t="n">
        <v>46348</v>
      </c>
      <c r="M31" s="66" t="n">
        <v>6</v>
      </c>
      <c r="N31" s="66" t="s">
        <v>106</v>
      </c>
      <c r="O31" s="66" t="s">
        <v>228</v>
      </c>
      <c r="P31" s="66" t="s">
        <v>421</v>
      </c>
      <c r="Q31" s="66" t="n">
        <f aca="false">IF(OR(H31="Initial Contact",H31="In Discussion",H31="Meeting Scheduled",H31="Engaged"),1,0)</f>
        <v>0</v>
      </c>
      <c r="R31" s="66" t="n">
        <f aca="false">IF(OR(K31="",K31&gt;Analysis!$B$3),"",Analysis!$B$3-K31)</f>
        <v>59</v>
      </c>
      <c r="S31" s="66" t="n">
        <f aca="false">IF(AND(Q31=1,L31&lt;&gt;"",L31&lt;Analysis!$B$3),1,0)</f>
        <v>0</v>
      </c>
      <c r="T31" s="66" t="n">
        <f aca="false">IF(Q31=1,IF(R31="",0,IF(R31&gt;Analysis!$B$4,1,0)),0)</f>
        <v>0</v>
      </c>
      <c r="U31" s="66" t="n">
        <f aca="false">IF(AND(Q31=1,L31=""),1,0)</f>
        <v>0</v>
      </c>
      <c r="V31" s="66" t="str">
        <f aca="false">IF(TRIM(F31)="","Missing",IF(IFERROR(FIND(".",F31,FIND("@",F31)),0)&gt;0,"Valid","Invalid"))</f>
        <v>Valid</v>
      </c>
      <c r="W31" s="66" t="str">
        <f aca="false">IF(TRIM(G31)="","Missing",IF(OR(AND(LEFT(G31,4)="+91 ",LEN(G31)=15),AND(LEFT(G31,7)="+91 11 ",LEN(G31)=16)),"Valid","Invalid"))</f>
        <v>Valid</v>
      </c>
      <c r="X31" s="66" t="n">
        <f aca="false">IF(AND(J31&lt;&gt;"",K31&lt;&gt;"",K31&lt;J31),1,0)</f>
        <v>0</v>
      </c>
      <c r="Y31" s="66" t="n">
        <f aca="false">IF(AND(K31&lt;&gt;"",K31&gt;Analysis!$B$3),1,0)</f>
        <v>0</v>
      </c>
      <c r="Z31" s="66" t="n">
        <f aca="false">IF(AND(Q31=1,ISNUMBER(SEARCH("declin",P31))),1,0)</f>
        <v>0</v>
      </c>
      <c r="AA31" s="66" t="n">
        <f aca="false">IF(Q31=1,S31*2+T31*2+U31+IF(I31="",1,0)+IF(N31="High",2,IF(N31="Medium",1,0)),0)</f>
        <v>0</v>
      </c>
      <c r="AB31" s="66" t="str">
        <f aca="false">IF(Q31=0,"",TRIM(IF(S31=1,"Follow-up overdue. ","")&amp;IF(T31=1,"No contact "&amp;Analysis!$B$4&amp;"+ days. ","")&amp;IF(U31=1,"No follow-up date. ","")&amp;IF(I31="","No owner. ","")&amp;IF(Z31=1,"Remarks conflict with status. ","")&amp;IF(X31=1,"Date error (last &lt; first). ","")&amp;IF(Y31=1,"Future-dated contact. ","")))</f>
        <v/>
      </c>
    </row>
    <row r="32" customFormat="false" ht="15" hidden="false" customHeight="false" outlineLevel="0" collapsed="false">
      <c r="A32" s="66" t="s">
        <v>422</v>
      </c>
      <c r="B32" s="66" t="s">
        <v>423</v>
      </c>
      <c r="C32" s="66" t="s">
        <v>208</v>
      </c>
      <c r="D32" s="66" t="s">
        <v>424</v>
      </c>
      <c r="E32" s="66" t="s">
        <v>336</v>
      </c>
      <c r="F32" s="66" t="s">
        <v>425</v>
      </c>
      <c r="G32" s="66" t="s">
        <v>426</v>
      </c>
      <c r="H32" s="66" t="s">
        <v>194</v>
      </c>
      <c r="I32" s="66" t="s">
        <v>219</v>
      </c>
      <c r="J32" s="67" t="n">
        <v>46210</v>
      </c>
      <c r="K32" s="67" t="n">
        <v>46218</v>
      </c>
      <c r="L32" s="67" t="n">
        <v>46250</v>
      </c>
      <c r="M32" s="66" t="n">
        <v>8</v>
      </c>
      <c r="N32" s="66"/>
      <c r="O32" s="66" t="s">
        <v>105</v>
      </c>
      <c r="P32" s="66" t="s">
        <v>427</v>
      </c>
      <c r="Q32" s="66" t="n">
        <f aca="false">IF(OR(H32="Initial Contact",H32="In Discussion",H32="Meeting Scheduled",H32="Engaged"),1,0)</f>
        <v>1</v>
      </c>
      <c r="R32" s="66" t="n">
        <f aca="false">IF(OR(K32="",K32&gt;Analysis!$B$3),"",Analysis!$B$3-K32)</f>
        <v>82</v>
      </c>
      <c r="S32" s="66" t="n">
        <f aca="false">IF(AND(Q32=1,L32&lt;&gt;"",L32&lt;Analysis!$B$3),1,0)</f>
        <v>1</v>
      </c>
      <c r="T32" s="66" t="n">
        <f aca="false">IF(Q32=1,IF(R32="",0,IF(R32&gt;Analysis!$B$4,1,0)),0)</f>
        <v>0</v>
      </c>
      <c r="U32" s="66" t="n">
        <f aca="false">IF(AND(Q32=1,L32=""),1,0)</f>
        <v>0</v>
      </c>
      <c r="V32" s="66" t="str">
        <f aca="false">IF(TRIM(F32)="","Missing",IF(IFERROR(FIND(".",F32,FIND("@",F32)),0)&gt;0,"Valid","Invalid"))</f>
        <v>Valid</v>
      </c>
      <c r="W32" s="66" t="str">
        <f aca="false">IF(TRIM(G32)="","Missing",IF(OR(AND(LEFT(G32,4)="+91 ",LEN(G32)=15),AND(LEFT(G32,7)="+91 11 ",LEN(G32)=16)),"Valid","Invalid"))</f>
        <v>Valid</v>
      </c>
      <c r="X32" s="66" t="n">
        <f aca="false">IF(AND(J32&lt;&gt;"",K32&lt;&gt;"",K32&lt;J32),1,0)</f>
        <v>0</v>
      </c>
      <c r="Y32" s="66" t="n">
        <f aca="false">IF(AND(K32&lt;&gt;"",K32&gt;Analysis!$B$3),1,0)</f>
        <v>0</v>
      </c>
      <c r="Z32" s="66" t="n">
        <f aca="false">IF(AND(Q32=1,ISNUMBER(SEARCH("declin",P32))),1,0)</f>
        <v>0</v>
      </c>
      <c r="AA32" s="66" t="n">
        <f aca="false">IF(Q32=1,S32*2+T32*2+U32+IF(I32="",1,0)+IF(N32="High",2,IF(N32="Medium",1,0)),0)</f>
        <v>2</v>
      </c>
      <c r="AB32" s="66" t="str">
        <f aca="false">IF(Q32=0,"",TRIM(IF(S32=1,"Follow-up overdue. ","")&amp;IF(T32=1,"No contact "&amp;Analysis!$B$4&amp;"+ days. ","")&amp;IF(U32=1,"No follow-up date. ","")&amp;IF(I32="","No owner. ","")&amp;IF(Z32=1,"Remarks conflict with status. ","")&amp;IF(X32=1,"Date error (last &lt; first). ","")&amp;IF(Y32=1,"Future-dated contact. ","")))</f>
        <v>Follow-up overdue.</v>
      </c>
    </row>
    <row r="33" customFormat="false" ht="15" hidden="false" customHeight="false" outlineLevel="0" collapsed="false">
      <c r="A33" s="66" t="s">
        <v>428</v>
      </c>
      <c r="B33" s="66" t="s">
        <v>429</v>
      </c>
      <c r="C33" s="66" t="s">
        <v>208</v>
      </c>
      <c r="D33" s="66" t="s">
        <v>430</v>
      </c>
      <c r="E33" s="66" t="s">
        <v>324</v>
      </c>
      <c r="F33" s="66" t="s">
        <v>431</v>
      </c>
      <c r="G33" s="66" t="s">
        <v>432</v>
      </c>
      <c r="H33" s="66" t="s">
        <v>193</v>
      </c>
      <c r="I33" s="66" t="s">
        <v>222</v>
      </c>
      <c r="J33" s="67" t="n">
        <v>46205</v>
      </c>
      <c r="K33" s="67"/>
      <c r="L33" s="67" t="n">
        <v>46307</v>
      </c>
      <c r="M33" s="66" t="n">
        <v>5</v>
      </c>
      <c r="N33" s="66" t="s">
        <v>85</v>
      </c>
      <c r="O33" s="66" t="s">
        <v>105</v>
      </c>
      <c r="P33" s="66" t="s">
        <v>433</v>
      </c>
      <c r="Q33" s="66" t="n">
        <f aca="false">IF(OR(H33="Initial Contact",H33="In Discussion",H33="Meeting Scheduled",H33="Engaged"),1,0)</f>
        <v>1</v>
      </c>
      <c r="R33" s="66" t="str">
        <f aca="false">IF(OR(K33="",K33&gt;Analysis!$B$3),"",Analysis!$B$3-K33)</f>
        <v/>
      </c>
      <c r="S33" s="66" t="n">
        <f aca="false">IF(AND(Q33=1,L33&lt;&gt;"",L33&lt;Analysis!$B$3),1,0)</f>
        <v>0</v>
      </c>
      <c r="T33" s="66" t="n">
        <f aca="false">IF(Q33=1,IF(R33="",0,IF(R33&gt;Analysis!$B$4,1,0)),0)</f>
        <v>0</v>
      </c>
      <c r="U33" s="66" t="n">
        <f aca="false">IF(AND(Q33=1,L33=""),1,0)</f>
        <v>0</v>
      </c>
      <c r="V33" s="66" t="str">
        <f aca="false">IF(TRIM(F33)="","Missing",IF(IFERROR(FIND(".",F33,FIND("@",F33)),0)&gt;0,"Valid","Invalid"))</f>
        <v>Valid</v>
      </c>
      <c r="W33" s="66" t="str">
        <f aca="false">IF(TRIM(G33)="","Missing",IF(OR(AND(LEFT(G33,4)="+91 ",LEN(G33)=15),AND(LEFT(G33,7)="+91 11 ",LEN(G33)=16)),"Valid","Invalid"))</f>
        <v>Valid</v>
      </c>
      <c r="X33" s="66" t="n">
        <f aca="false">IF(AND(J33&lt;&gt;"",K33&lt;&gt;"",K33&lt;J33),1,0)</f>
        <v>0</v>
      </c>
      <c r="Y33" s="66" t="n">
        <f aca="false">IF(AND(K33&lt;&gt;"",K33&gt;Analysis!$B$3),1,0)</f>
        <v>0</v>
      </c>
      <c r="Z33" s="66" t="n">
        <f aca="false">IF(AND(Q33=1,ISNUMBER(SEARCH("declin",P33))),1,0)</f>
        <v>0</v>
      </c>
      <c r="AA33" s="66" t="n">
        <f aca="false">IF(Q33=1,S33*2+T33*2+U33+IF(I33="",1,0)+IF(N33="High",2,IF(N33="Medium",1,0)),0)</f>
        <v>1</v>
      </c>
      <c r="AB33" s="66" t="str">
        <f aca="false">IF(Q33=0,"",TRIM(IF(S33=1,"Follow-up overdue. ","")&amp;IF(T33=1,"No contact "&amp;Analysis!$B$4&amp;"+ days. ","")&amp;IF(U33=1,"No follow-up date. ","")&amp;IF(I33="","No owner. ","")&amp;IF(Z33=1,"Remarks conflict with status. ","")&amp;IF(X33=1,"Date error (last &lt; first). ","")&amp;IF(Y33=1,"Future-dated contact. ","")))</f>
        <v/>
      </c>
    </row>
    <row r="34" customFormat="false" ht="15" hidden="false" customHeight="false" outlineLevel="0" collapsed="false">
      <c r="A34" s="66" t="s">
        <v>434</v>
      </c>
      <c r="B34" s="66" t="s">
        <v>435</v>
      </c>
      <c r="C34" s="66" t="s">
        <v>208</v>
      </c>
      <c r="D34" s="66" t="s">
        <v>436</v>
      </c>
      <c r="E34" s="66" t="s">
        <v>324</v>
      </c>
      <c r="F34" s="66" t="s">
        <v>437</v>
      </c>
      <c r="G34" s="66" t="s">
        <v>438</v>
      </c>
      <c r="H34" s="66" t="s">
        <v>193</v>
      </c>
      <c r="I34" s="66" t="s">
        <v>220</v>
      </c>
      <c r="J34" s="67" t="n">
        <v>46065</v>
      </c>
      <c r="K34" s="67" t="n">
        <v>46236</v>
      </c>
      <c r="L34" s="67" t="n">
        <v>46279</v>
      </c>
      <c r="M34" s="66" t="n">
        <v>5</v>
      </c>
      <c r="N34" s="66" t="s">
        <v>85</v>
      </c>
      <c r="O34" s="66" t="s">
        <v>227</v>
      </c>
      <c r="P34" s="66" t="s">
        <v>360</v>
      </c>
      <c r="Q34" s="66" t="n">
        <f aca="false">IF(OR(H34="Initial Contact",H34="In Discussion",H34="Meeting Scheduled",H34="Engaged"),1,0)</f>
        <v>1</v>
      </c>
      <c r="R34" s="66" t="n">
        <f aca="false">IF(OR(K34="",K34&gt;Analysis!$B$3),"",Analysis!$B$3-K34)</f>
        <v>64</v>
      </c>
      <c r="S34" s="66" t="n">
        <f aca="false">IF(AND(Q34=1,L34&lt;&gt;"",L34&lt;Analysis!$B$3),1,0)</f>
        <v>1</v>
      </c>
      <c r="T34" s="66" t="n">
        <f aca="false">IF(Q34=1,IF(R34="",0,IF(R34&gt;Analysis!$B$4,1,0)),0)</f>
        <v>0</v>
      </c>
      <c r="U34" s="66" t="n">
        <f aca="false">IF(AND(Q34=1,L34=""),1,0)</f>
        <v>0</v>
      </c>
      <c r="V34" s="66" t="str">
        <f aca="false">IF(TRIM(F34)="","Missing",IF(IFERROR(FIND(".",F34,FIND("@",F34)),0)&gt;0,"Valid","Invalid"))</f>
        <v>Invalid</v>
      </c>
      <c r="W34" s="66" t="str">
        <f aca="false">IF(TRIM(G34)="","Missing",IF(OR(AND(LEFT(G34,4)="+91 ",LEN(G34)=15),AND(LEFT(G34,7)="+91 11 ",LEN(G34)=16)),"Valid","Invalid"))</f>
        <v>Valid</v>
      </c>
      <c r="X34" s="66" t="n">
        <f aca="false">IF(AND(J34&lt;&gt;"",K34&lt;&gt;"",K34&lt;J34),1,0)</f>
        <v>0</v>
      </c>
      <c r="Y34" s="66" t="n">
        <f aca="false">IF(AND(K34&lt;&gt;"",K34&gt;Analysis!$B$3),1,0)</f>
        <v>0</v>
      </c>
      <c r="Z34" s="66" t="n">
        <f aca="false">IF(AND(Q34=1,ISNUMBER(SEARCH("declin",P34))),1,0)</f>
        <v>0</v>
      </c>
      <c r="AA34" s="66" t="n">
        <f aca="false">IF(Q34=1,S34*2+T34*2+U34+IF(I34="",1,0)+IF(N34="High",2,IF(N34="Medium",1,0)),0)</f>
        <v>3</v>
      </c>
      <c r="AB34" s="66" t="str">
        <f aca="false">IF(Q34=0,"",TRIM(IF(S34=1,"Follow-up overdue. ","")&amp;IF(T34=1,"No contact "&amp;Analysis!$B$4&amp;"+ days. ","")&amp;IF(U34=1,"No follow-up date. ","")&amp;IF(I34="","No owner. ","")&amp;IF(Z34=1,"Remarks conflict with status. ","")&amp;IF(X34=1,"Date error (last &lt; first). ","")&amp;IF(Y34=1,"Future-dated contact. ","")))</f>
        <v>Follow-up overdue.</v>
      </c>
    </row>
    <row r="35" customFormat="false" ht="15" hidden="false" customHeight="false" outlineLevel="0" collapsed="false">
      <c r="A35" s="66" t="s">
        <v>439</v>
      </c>
      <c r="B35" s="66" t="s">
        <v>440</v>
      </c>
      <c r="C35" s="66" t="s">
        <v>208</v>
      </c>
      <c r="D35" s="66" t="s">
        <v>441</v>
      </c>
      <c r="E35" s="66" t="s">
        <v>259</v>
      </c>
      <c r="F35" s="66" t="s">
        <v>442</v>
      </c>
      <c r="G35" s="66" t="s">
        <v>443</v>
      </c>
      <c r="H35" s="66" t="s">
        <v>193</v>
      </c>
      <c r="I35" s="66"/>
      <c r="J35" s="67" t="n">
        <v>46097</v>
      </c>
      <c r="K35" s="67" t="n">
        <v>46299</v>
      </c>
      <c r="L35" s="67" t="n">
        <v>46328</v>
      </c>
      <c r="M35" s="66" t="n">
        <v>3</v>
      </c>
      <c r="N35" s="66" t="s">
        <v>106</v>
      </c>
      <c r="O35" s="66" t="s">
        <v>97</v>
      </c>
      <c r="P35" s="66" t="s">
        <v>379</v>
      </c>
      <c r="Q35" s="66" t="n">
        <f aca="false">IF(OR(H35="Initial Contact",H35="In Discussion",H35="Meeting Scheduled",H35="Engaged"),1,0)</f>
        <v>1</v>
      </c>
      <c r="R35" s="66" t="n">
        <f aca="false">IF(OR(K35="",K35&gt;Analysis!$B$3),"",Analysis!$B$3-K35)</f>
        <v>1</v>
      </c>
      <c r="S35" s="66" t="n">
        <f aca="false">IF(AND(Q35=1,L35&lt;&gt;"",L35&lt;Analysis!$B$3),1,0)</f>
        <v>0</v>
      </c>
      <c r="T35" s="66" t="n">
        <f aca="false">IF(Q35=1,IF(R35="",0,IF(R35&gt;Analysis!$B$4,1,0)),0)</f>
        <v>0</v>
      </c>
      <c r="U35" s="66" t="n">
        <f aca="false">IF(AND(Q35=1,L35=""),1,0)</f>
        <v>0</v>
      </c>
      <c r="V35" s="66" t="str">
        <f aca="false">IF(TRIM(F35)="","Missing",IF(IFERROR(FIND(".",F35,FIND("@",F35)),0)&gt;0,"Valid","Invalid"))</f>
        <v>Valid</v>
      </c>
      <c r="W35" s="66" t="str">
        <f aca="false">IF(TRIM(G35)="","Missing",IF(OR(AND(LEFT(G35,4)="+91 ",LEN(G35)=15),AND(LEFT(G35,7)="+91 11 ",LEN(G35)=16)),"Valid","Invalid"))</f>
        <v>Valid</v>
      </c>
      <c r="X35" s="66" t="n">
        <f aca="false">IF(AND(J35&lt;&gt;"",K35&lt;&gt;"",K35&lt;J35),1,0)</f>
        <v>0</v>
      </c>
      <c r="Y35" s="66" t="n">
        <f aca="false">IF(AND(K35&lt;&gt;"",K35&gt;Analysis!$B$3),1,0)</f>
        <v>0</v>
      </c>
      <c r="Z35" s="66" t="n">
        <f aca="false">IF(AND(Q35=1,ISNUMBER(SEARCH("declin",P35))),1,0)</f>
        <v>1</v>
      </c>
      <c r="AA35" s="66" t="n">
        <f aca="false">IF(Q35=1,S35*2+T35*2+U35+IF(I35="",1,0)+IF(N35="High",2,IF(N35="Medium",1,0)),0)</f>
        <v>1</v>
      </c>
      <c r="AB35" s="66" t="str">
        <f aca="false">IF(Q35=0,"",TRIM(IF(S35=1,"Follow-up overdue. ","")&amp;IF(T35=1,"No contact "&amp;Analysis!$B$4&amp;"+ days. ","")&amp;IF(U35=1,"No follow-up date. ","")&amp;IF(I35="","No owner. ","")&amp;IF(Z35=1,"Remarks conflict with status. ","")&amp;IF(X35=1,"Date error (last &lt; first). ","")&amp;IF(Y35=1,"Future-dated contact. ","")))</f>
        <v>No owner. Remarks conflict with status.</v>
      </c>
    </row>
    <row r="36" customFormat="false" ht="15" hidden="false" customHeight="false" outlineLevel="0" collapsed="false">
      <c r="A36" s="66" t="s">
        <v>444</v>
      </c>
      <c r="B36" s="66" t="s">
        <v>445</v>
      </c>
      <c r="C36" s="66" t="s">
        <v>209</v>
      </c>
      <c r="D36" s="66" t="s">
        <v>446</v>
      </c>
      <c r="E36" s="66" t="s">
        <v>308</v>
      </c>
      <c r="F36" s="66" t="s">
        <v>447</v>
      </c>
      <c r="G36" s="66" t="s">
        <v>448</v>
      </c>
      <c r="H36" s="66" t="s">
        <v>195</v>
      </c>
      <c r="I36" s="66" t="s">
        <v>222</v>
      </c>
      <c r="J36" s="67" t="n">
        <v>45720</v>
      </c>
      <c r="K36" s="67" t="n">
        <v>46294</v>
      </c>
      <c r="L36" s="67" t="n">
        <v>46395</v>
      </c>
      <c r="M36" s="66" t="n">
        <v>4</v>
      </c>
      <c r="N36" s="66" t="s">
        <v>106</v>
      </c>
      <c r="O36" s="66" t="s">
        <v>97</v>
      </c>
      <c r="P36" s="66" t="s">
        <v>274</v>
      </c>
      <c r="Q36" s="66" t="n">
        <f aca="false">IF(OR(H36="Initial Contact",H36="In Discussion",H36="Meeting Scheduled",H36="Engaged"),1,0)</f>
        <v>0</v>
      </c>
      <c r="R36" s="66" t="n">
        <f aca="false">IF(OR(K36="",K36&gt;Analysis!$B$3),"",Analysis!$B$3-K36)</f>
        <v>6</v>
      </c>
      <c r="S36" s="66" t="n">
        <f aca="false">IF(AND(Q36=1,L36&lt;&gt;"",L36&lt;Analysis!$B$3),1,0)</f>
        <v>0</v>
      </c>
      <c r="T36" s="66" t="n">
        <f aca="false">IF(Q36=1,IF(R36="",0,IF(R36&gt;Analysis!$B$4,1,0)),0)</f>
        <v>0</v>
      </c>
      <c r="U36" s="66" t="n">
        <f aca="false">IF(AND(Q36=1,L36=""),1,0)</f>
        <v>0</v>
      </c>
      <c r="V36" s="66" t="str">
        <f aca="false">IF(TRIM(F36)="","Missing",IF(IFERROR(FIND(".",F36,FIND("@",F36)),0)&gt;0,"Valid","Invalid"))</f>
        <v>Valid</v>
      </c>
      <c r="W36" s="66" t="str">
        <f aca="false">IF(TRIM(G36)="","Missing",IF(OR(AND(LEFT(G36,4)="+91 ",LEN(G36)=15),AND(LEFT(G36,7)="+91 11 ",LEN(G36)=16)),"Valid","Invalid"))</f>
        <v>Valid</v>
      </c>
      <c r="X36" s="66" t="n">
        <f aca="false">IF(AND(J36&lt;&gt;"",K36&lt;&gt;"",K36&lt;J36),1,0)</f>
        <v>0</v>
      </c>
      <c r="Y36" s="66" t="n">
        <f aca="false">IF(AND(K36&lt;&gt;"",K36&gt;Analysis!$B$3),1,0)</f>
        <v>0</v>
      </c>
      <c r="Z36" s="66" t="n">
        <f aca="false">IF(AND(Q36=1,ISNUMBER(SEARCH("declin",P36))),1,0)</f>
        <v>0</v>
      </c>
      <c r="AA36" s="66" t="n">
        <f aca="false">IF(Q36=1,S36*2+T36*2+U36+IF(I36="",1,0)+IF(N36="High",2,IF(N36="Medium",1,0)),0)</f>
        <v>0</v>
      </c>
      <c r="AB36" s="66" t="str">
        <f aca="false">IF(Q36=0,"",TRIM(IF(S36=1,"Follow-up overdue. ","")&amp;IF(T36=1,"No contact "&amp;Analysis!$B$4&amp;"+ days. ","")&amp;IF(U36=1,"No follow-up date. ","")&amp;IF(I36="","No owner. ","")&amp;IF(Z36=1,"Remarks conflict with status. ","")&amp;IF(X36=1,"Date error (last &lt; first). ","")&amp;IF(Y36=1,"Future-dated contact. ","")))</f>
        <v/>
      </c>
    </row>
    <row r="37" customFormat="false" ht="15" hidden="false" customHeight="false" outlineLevel="0" collapsed="false">
      <c r="A37" s="66" t="s">
        <v>449</v>
      </c>
      <c r="B37" s="66" t="s">
        <v>450</v>
      </c>
      <c r="C37" s="66" t="s">
        <v>209</v>
      </c>
      <c r="D37" s="66" t="s">
        <v>451</v>
      </c>
      <c r="E37" s="66" t="s">
        <v>324</v>
      </c>
      <c r="F37" s="66" t="s">
        <v>452</v>
      </c>
      <c r="G37" s="66" t="s">
        <v>453</v>
      </c>
      <c r="H37" s="66" t="s">
        <v>194</v>
      </c>
      <c r="I37" s="66" t="s">
        <v>218</v>
      </c>
      <c r="J37" s="67" t="n">
        <v>45687</v>
      </c>
      <c r="K37" s="67" t="n">
        <v>46282</v>
      </c>
      <c r="L37" s="67" t="n">
        <v>46301</v>
      </c>
      <c r="M37" s="66" t="n">
        <v>8</v>
      </c>
      <c r="N37" s="66" t="s">
        <v>64</v>
      </c>
      <c r="O37" s="66" t="s">
        <v>229</v>
      </c>
      <c r="P37" s="66" t="s">
        <v>304</v>
      </c>
      <c r="Q37" s="66" t="n">
        <f aca="false">IF(OR(H37="Initial Contact",H37="In Discussion",H37="Meeting Scheduled",H37="Engaged"),1,0)</f>
        <v>1</v>
      </c>
      <c r="R37" s="66" t="n">
        <f aca="false">IF(OR(K37="",K37&gt;Analysis!$B$3),"",Analysis!$B$3-K37)</f>
        <v>18</v>
      </c>
      <c r="S37" s="66" t="n">
        <f aca="false">IF(AND(Q37=1,L37&lt;&gt;"",L37&lt;Analysis!$B$3),1,0)</f>
        <v>0</v>
      </c>
      <c r="T37" s="66" t="n">
        <f aca="false">IF(Q37=1,IF(R37="",0,IF(R37&gt;Analysis!$B$4,1,0)),0)</f>
        <v>0</v>
      </c>
      <c r="U37" s="66" t="n">
        <f aca="false">IF(AND(Q37=1,L37=""),1,0)</f>
        <v>0</v>
      </c>
      <c r="V37" s="66" t="str">
        <f aca="false">IF(TRIM(F37)="","Missing",IF(IFERROR(FIND(".",F37,FIND("@",F37)),0)&gt;0,"Valid","Invalid"))</f>
        <v>Valid</v>
      </c>
      <c r="W37" s="66" t="str">
        <f aca="false">IF(TRIM(G37)="","Missing",IF(OR(AND(LEFT(G37,4)="+91 ",LEN(G37)=15),AND(LEFT(G37,7)="+91 11 ",LEN(G37)=16)),"Valid","Invalid"))</f>
        <v>Valid</v>
      </c>
      <c r="X37" s="66" t="n">
        <f aca="false">IF(AND(J37&lt;&gt;"",K37&lt;&gt;"",K37&lt;J37),1,0)</f>
        <v>0</v>
      </c>
      <c r="Y37" s="66" t="n">
        <f aca="false">IF(AND(K37&lt;&gt;"",K37&gt;Analysis!$B$3),1,0)</f>
        <v>0</v>
      </c>
      <c r="Z37" s="66" t="n">
        <f aca="false">IF(AND(Q37=1,ISNUMBER(SEARCH("declin",P37))),1,0)</f>
        <v>0</v>
      </c>
      <c r="AA37" s="66" t="n">
        <f aca="false">IF(Q37=1,S37*2+T37*2+U37+IF(I37="",1,0)+IF(N37="High",2,IF(N37="Medium",1,0)),0)</f>
        <v>2</v>
      </c>
      <c r="AB37" s="66" t="str">
        <f aca="false">IF(Q37=0,"",TRIM(IF(S37=1,"Follow-up overdue. ","")&amp;IF(T37=1,"No contact "&amp;Analysis!$B$4&amp;"+ days. ","")&amp;IF(U37=1,"No follow-up date. ","")&amp;IF(I37="","No owner. ","")&amp;IF(Z37=1,"Remarks conflict with status. ","")&amp;IF(X37=1,"Date error (last &lt; first). ","")&amp;IF(Y37=1,"Future-dated contact. ","")))</f>
        <v/>
      </c>
    </row>
    <row r="38" customFormat="false" ht="15" hidden="false" customHeight="false" outlineLevel="0" collapsed="false">
      <c r="A38" s="66" t="s">
        <v>454</v>
      </c>
      <c r="B38" s="66" t="s">
        <v>455</v>
      </c>
      <c r="C38" s="66" t="s">
        <v>209</v>
      </c>
      <c r="D38" s="66" t="s">
        <v>456</v>
      </c>
      <c r="E38" s="66" t="s">
        <v>348</v>
      </c>
      <c r="F38" s="66" t="s">
        <v>457</v>
      </c>
      <c r="G38" s="66" t="s">
        <v>458</v>
      </c>
      <c r="H38" s="66" t="s">
        <v>14</v>
      </c>
      <c r="I38" s="66" t="s">
        <v>220</v>
      </c>
      <c r="J38" s="67" t="n">
        <v>45814</v>
      </c>
      <c r="K38" s="67" t="n">
        <v>46287</v>
      </c>
      <c r="L38" s="67" t="n">
        <v>46306</v>
      </c>
      <c r="M38" s="66" t="n">
        <v>16</v>
      </c>
      <c r="N38" s="66" t="s">
        <v>64</v>
      </c>
      <c r="O38" s="66" t="s">
        <v>227</v>
      </c>
      <c r="P38" s="66" t="s">
        <v>384</v>
      </c>
      <c r="Q38" s="66" t="n">
        <f aca="false">IF(OR(H38="Initial Contact",H38="In Discussion",H38="Meeting Scheduled",H38="Engaged"),1,0)</f>
        <v>1</v>
      </c>
      <c r="R38" s="66" t="n">
        <f aca="false">IF(OR(K38="",K38&gt;Analysis!$B$3),"",Analysis!$B$3-K38)</f>
        <v>13</v>
      </c>
      <c r="S38" s="66" t="n">
        <f aca="false">IF(AND(Q38=1,L38&lt;&gt;"",L38&lt;Analysis!$B$3),1,0)</f>
        <v>0</v>
      </c>
      <c r="T38" s="66" t="n">
        <f aca="false">IF(Q38=1,IF(R38="",0,IF(R38&gt;Analysis!$B$4,1,0)),0)</f>
        <v>0</v>
      </c>
      <c r="U38" s="66" t="n">
        <f aca="false">IF(AND(Q38=1,L38=""),1,0)</f>
        <v>0</v>
      </c>
      <c r="V38" s="66" t="str">
        <f aca="false">IF(TRIM(F38)="","Missing",IF(IFERROR(FIND(".",F38,FIND("@",F38)),0)&gt;0,"Valid","Invalid"))</f>
        <v>Valid</v>
      </c>
      <c r="W38" s="66" t="str">
        <f aca="false">IF(TRIM(G38)="","Missing",IF(OR(AND(LEFT(G38,4)="+91 ",LEN(G38)=15),AND(LEFT(G38,7)="+91 11 ",LEN(G38)=16)),"Valid","Invalid"))</f>
        <v>Valid</v>
      </c>
      <c r="X38" s="66" t="n">
        <f aca="false">IF(AND(J38&lt;&gt;"",K38&lt;&gt;"",K38&lt;J38),1,0)</f>
        <v>0</v>
      </c>
      <c r="Y38" s="66" t="n">
        <f aca="false">IF(AND(K38&lt;&gt;"",K38&gt;Analysis!$B$3),1,0)</f>
        <v>0</v>
      </c>
      <c r="Z38" s="66" t="n">
        <f aca="false">IF(AND(Q38=1,ISNUMBER(SEARCH("declin",P38))),1,0)</f>
        <v>0</v>
      </c>
      <c r="AA38" s="66" t="n">
        <f aca="false">IF(Q38=1,S38*2+T38*2+U38+IF(I38="",1,0)+IF(N38="High",2,IF(N38="Medium",1,0)),0)</f>
        <v>2</v>
      </c>
      <c r="AB38" s="66" t="str">
        <f aca="false">IF(Q38=0,"",TRIM(IF(S38=1,"Follow-up overdue. ","")&amp;IF(T38=1,"No contact "&amp;Analysis!$B$4&amp;"+ days. ","")&amp;IF(U38=1,"No follow-up date. ","")&amp;IF(I38="","No owner. ","")&amp;IF(Z38=1,"Remarks conflict with status. ","")&amp;IF(X38=1,"Date error (last &lt; first). ","")&amp;IF(Y38=1,"Future-dated contact. ","")))</f>
        <v/>
      </c>
    </row>
    <row r="39" customFormat="false" ht="15" hidden="false" customHeight="false" outlineLevel="0" collapsed="false">
      <c r="A39" s="66" t="s">
        <v>459</v>
      </c>
      <c r="B39" s="66" t="s">
        <v>460</v>
      </c>
      <c r="C39" s="66" t="s">
        <v>209</v>
      </c>
      <c r="D39" s="66" t="s">
        <v>461</v>
      </c>
      <c r="E39" s="66" t="s">
        <v>308</v>
      </c>
      <c r="F39" s="66" t="s">
        <v>462</v>
      </c>
      <c r="G39" s="66" t="s">
        <v>463</v>
      </c>
      <c r="H39" s="66" t="s">
        <v>192</v>
      </c>
      <c r="I39" s="66" t="s">
        <v>218</v>
      </c>
      <c r="J39" s="67" t="n">
        <v>45771</v>
      </c>
      <c r="K39" s="67" t="n">
        <v>46332</v>
      </c>
      <c r="L39" s="67" t="n">
        <v>46308</v>
      </c>
      <c r="M39" s="66" t="n">
        <v>2</v>
      </c>
      <c r="N39" s="66" t="s">
        <v>106</v>
      </c>
      <c r="O39" s="66" t="s">
        <v>229</v>
      </c>
      <c r="P39" s="66" t="s">
        <v>350</v>
      </c>
      <c r="Q39" s="66" t="n">
        <f aca="false">IF(OR(H39="Initial Contact",H39="In Discussion",H39="Meeting Scheduled",H39="Engaged"),1,0)</f>
        <v>1</v>
      </c>
      <c r="R39" s="66" t="str">
        <f aca="false">IF(OR(K39="",K39&gt;Analysis!$B$3),"",Analysis!$B$3-K39)</f>
        <v/>
      </c>
      <c r="S39" s="66" t="n">
        <f aca="false">IF(AND(Q39=1,L39&lt;&gt;"",L39&lt;Analysis!$B$3),1,0)</f>
        <v>0</v>
      </c>
      <c r="T39" s="66" t="n">
        <f aca="false">IF(Q39=1,IF(R39="",0,IF(R39&gt;Analysis!$B$4,1,0)),0)</f>
        <v>0</v>
      </c>
      <c r="U39" s="66" t="n">
        <f aca="false">IF(AND(Q39=1,L39=""),1,0)</f>
        <v>0</v>
      </c>
      <c r="V39" s="66" t="str">
        <f aca="false">IF(TRIM(F39)="","Missing",IF(IFERROR(FIND(".",F39,FIND("@",F39)),0)&gt;0,"Valid","Invalid"))</f>
        <v>Valid</v>
      </c>
      <c r="W39" s="66" t="str">
        <f aca="false">IF(TRIM(G39)="","Missing",IF(OR(AND(LEFT(G39,4)="+91 ",LEN(G39)=15),AND(LEFT(G39,7)="+91 11 ",LEN(G39)=16)),"Valid","Invalid"))</f>
        <v>Valid</v>
      </c>
      <c r="X39" s="66" t="n">
        <f aca="false">IF(AND(J39&lt;&gt;"",K39&lt;&gt;"",K39&lt;J39),1,0)</f>
        <v>0</v>
      </c>
      <c r="Y39" s="66" t="n">
        <f aca="false">IF(AND(K39&lt;&gt;"",K39&gt;Analysis!$B$3),1,0)</f>
        <v>1</v>
      </c>
      <c r="Z39" s="66" t="n">
        <f aca="false">IF(AND(Q39=1,ISNUMBER(SEARCH("declin",P39))),1,0)</f>
        <v>0</v>
      </c>
      <c r="AA39" s="66" t="n">
        <f aca="false">IF(Q39=1,S39*2+T39*2+U39+IF(I39="",1,0)+IF(N39="High",2,IF(N39="Medium",1,0)),0)</f>
        <v>0</v>
      </c>
      <c r="AB39" s="66" t="str">
        <f aca="false">IF(Q39=0,"",TRIM(IF(S39=1,"Follow-up overdue. ","")&amp;IF(T39=1,"No contact "&amp;Analysis!$B$4&amp;"+ days. ","")&amp;IF(U39=1,"No follow-up date. ","")&amp;IF(I39="","No owner. ","")&amp;IF(Z39=1,"Remarks conflict with status. ","")&amp;IF(X39=1,"Date error (last &lt; first). ","")&amp;IF(Y39=1,"Future-dated contact. ","")))</f>
        <v>Future-dated contact.</v>
      </c>
    </row>
    <row r="40" customFormat="false" ht="15" hidden="false" customHeight="false" outlineLevel="0" collapsed="false">
      <c r="A40" s="66" t="s">
        <v>464</v>
      </c>
      <c r="B40" s="66" t="s">
        <v>465</v>
      </c>
      <c r="C40" s="66" t="s">
        <v>209</v>
      </c>
      <c r="D40" s="66" t="s">
        <v>363</v>
      </c>
      <c r="E40" s="66" t="s">
        <v>336</v>
      </c>
      <c r="F40" s="66" t="s">
        <v>466</v>
      </c>
      <c r="G40" s="66" t="s">
        <v>467</v>
      </c>
      <c r="H40" s="66" t="s">
        <v>193</v>
      </c>
      <c r="I40" s="66"/>
      <c r="J40" s="67" t="n">
        <v>45928</v>
      </c>
      <c r="K40" s="67" t="n">
        <v>46280</v>
      </c>
      <c r="L40" s="67" t="n">
        <v>46320</v>
      </c>
      <c r="M40" s="66" t="n">
        <v>5</v>
      </c>
      <c r="N40" s="66"/>
      <c r="O40" s="66" t="s">
        <v>227</v>
      </c>
      <c r="P40" s="66" t="s">
        <v>344</v>
      </c>
      <c r="Q40" s="66" t="n">
        <f aca="false">IF(OR(H40="Initial Contact",H40="In Discussion",H40="Meeting Scheduled",H40="Engaged"),1,0)</f>
        <v>1</v>
      </c>
      <c r="R40" s="66" t="n">
        <f aca="false">IF(OR(K40="",K40&gt;Analysis!$B$3),"",Analysis!$B$3-K40)</f>
        <v>20</v>
      </c>
      <c r="S40" s="66" t="n">
        <f aca="false">IF(AND(Q40=1,L40&lt;&gt;"",L40&lt;Analysis!$B$3),1,0)</f>
        <v>0</v>
      </c>
      <c r="T40" s="66" t="n">
        <f aca="false">IF(Q40=1,IF(R40="",0,IF(R40&gt;Analysis!$B$4,1,0)),0)</f>
        <v>0</v>
      </c>
      <c r="U40" s="66" t="n">
        <f aca="false">IF(AND(Q40=1,L40=""),1,0)</f>
        <v>0</v>
      </c>
      <c r="V40" s="66" t="str">
        <f aca="false">IF(TRIM(F40)="","Missing",IF(IFERROR(FIND(".",F40,FIND("@",F40)),0)&gt;0,"Valid","Invalid"))</f>
        <v>Valid</v>
      </c>
      <c r="W40" s="66" t="str">
        <f aca="false">IF(TRIM(G40)="","Missing",IF(OR(AND(LEFT(G40,4)="+91 ",LEN(G40)=15),AND(LEFT(G40,7)="+91 11 ",LEN(G40)=16)),"Valid","Invalid"))</f>
        <v>Valid</v>
      </c>
      <c r="X40" s="66" t="n">
        <f aca="false">IF(AND(J40&lt;&gt;"",K40&lt;&gt;"",K40&lt;J40),1,0)</f>
        <v>0</v>
      </c>
      <c r="Y40" s="66" t="n">
        <f aca="false">IF(AND(K40&lt;&gt;"",K40&gt;Analysis!$B$3),1,0)</f>
        <v>0</v>
      </c>
      <c r="Z40" s="66" t="n">
        <f aca="false">IF(AND(Q40=1,ISNUMBER(SEARCH("declin",P40))),1,0)</f>
        <v>0</v>
      </c>
      <c r="AA40" s="66" t="n">
        <f aca="false">IF(Q40=1,S40*2+T40*2+U40+IF(I40="",1,0)+IF(N40="High",2,IF(N40="Medium",1,0)),0)</f>
        <v>1</v>
      </c>
      <c r="AB40" s="66" t="str">
        <f aca="false">IF(Q40=0,"",TRIM(IF(S40=1,"Follow-up overdue. ","")&amp;IF(T40=1,"No contact "&amp;Analysis!$B$4&amp;"+ days. ","")&amp;IF(U40=1,"No follow-up date. ","")&amp;IF(I40="","No owner. ","")&amp;IF(Z40=1,"Remarks conflict with status. ","")&amp;IF(X40=1,"Date error (last &lt; first). ","")&amp;IF(Y40=1,"Future-dated contact. ","")))</f>
        <v>No owner.</v>
      </c>
    </row>
    <row r="41" customFormat="false" ht="15" hidden="false" customHeight="false" outlineLevel="0" collapsed="false">
      <c r="A41" s="66" t="s">
        <v>468</v>
      </c>
      <c r="B41" s="66" t="s">
        <v>469</v>
      </c>
      <c r="C41" s="66" t="s">
        <v>209</v>
      </c>
      <c r="D41" s="66" t="s">
        <v>461</v>
      </c>
      <c r="E41" s="66" t="s">
        <v>336</v>
      </c>
      <c r="F41" s="66" t="s">
        <v>470</v>
      </c>
      <c r="G41" s="66" t="s">
        <v>471</v>
      </c>
      <c r="H41" s="66" t="s">
        <v>14</v>
      </c>
      <c r="I41" s="66" t="s">
        <v>218</v>
      </c>
      <c r="J41" s="67" t="n">
        <v>46227</v>
      </c>
      <c r="K41" s="67" t="n">
        <v>46245</v>
      </c>
      <c r="L41" s="67"/>
      <c r="M41" s="66" t="n">
        <v>20</v>
      </c>
      <c r="N41" s="66" t="s">
        <v>64</v>
      </c>
      <c r="O41" s="66" t="s">
        <v>97</v>
      </c>
      <c r="P41" s="66" t="s">
        <v>281</v>
      </c>
      <c r="Q41" s="66" t="n">
        <f aca="false">IF(OR(H41="Initial Contact",H41="In Discussion",H41="Meeting Scheduled",H41="Engaged"),1,0)</f>
        <v>1</v>
      </c>
      <c r="R41" s="66" t="n">
        <f aca="false">IF(OR(K41="",K41&gt;Analysis!$B$3),"",Analysis!$B$3-K41)</f>
        <v>55</v>
      </c>
      <c r="S41" s="66" t="n">
        <f aca="false">IF(AND(Q41=1,L41&lt;&gt;"",L41&lt;Analysis!$B$3),1,0)</f>
        <v>0</v>
      </c>
      <c r="T41" s="66" t="n">
        <f aca="false">IF(Q41=1,IF(R41="",0,IF(R41&gt;Analysis!$B$4,1,0)),0)</f>
        <v>0</v>
      </c>
      <c r="U41" s="66" t="n">
        <f aca="false">IF(AND(Q41=1,L41=""),1,0)</f>
        <v>1</v>
      </c>
      <c r="V41" s="66" t="str">
        <f aca="false">IF(TRIM(F41)="","Missing",IF(IFERROR(FIND(".",F41,FIND("@",F41)),0)&gt;0,"Valid","Invalid"))</f>
        <v>Valid</v>
      </c>
      <c r="W41" s="66" t="str">
        <f aca="false">IF(TRIM(G41)="","Missing",IF(OR(AND(LEFT(G41,4)="+91 ",LEN(G41)=15),AND(LEFT(G41,7)="+91 11 ",LEN(G41)=16)),"Valid","Invalid"))</f>
        <v>Valid</v>
      </c>
      <c r="X41" s="66" t="n">
        <f aca="false">IF(AND(J41&lt;&gt;"",K41&lt;&gt;"",K41&lt;J41),1,0)</f>
        <v>0</v>
      </c>
      <c r="Y41" s="66" t="n">
        <f aca="false">IF(AND(K41&lt;&gt;"",K41&gt;Analysis!$B$3),1,0)</f>
        <v>0</v>
      </c>
      <c r="Z41" s="66" t="n">
        <f aca="false">IF(AND(Q41=1,ISNUMBER(SEARCH("declin",P41))),1,0)</f>
        <v>0</v>
      </c>
      <c r="AA41" s="66" t="n">
        <f aca="false">IF(Q41=1,S41*2+T41*2+U41+IF(I41="",1,0)+IF(N41="High",2,IF(N41="Medium",1,0)),0)</f>
        <v>3</v>
      </c>
      <c r="AB41" s="66" t="str">
        <f aca="false">IF(Q41=0,"",TRIM(IF(S41=1,"Follow-up overdue. ","")&amp;IF(T41=1,"No contact "&amp;Analysis!$B$4&amp;"+ days. ","")&amp;IF(U41=1,"No follow-up date. ","")&amp;IF(I41="","No owner. ","")&amp;IF(Z41=1,"Remarks conflict with status. ","")&amp;IF(X41=1,"Date error (last &lt; first). ","")&amp;IF(Y41=1,"Future-dated contact. ","")))</f>
        <v>No follow-up date.</v>
      </c>
    </row>
    <row r="42" customFormat="false" ht="15" hidden="false" customHeight="false" outlineLevel="0" collapsed="false">
      <c r="A42" s="66" t="s">
        <v>472</v>
      </c>
      <c r="B42" s="66" t="s">
        <v>473</v>
      </c>
      <c r="C42" s="66" t="s">
        <v>209</v>
      </c>
      <c r="D42" s="66" t="s">
        <v>402</v>
      </c>
      <c r="E42" s="66" t="s">
        <v>265</v>
      </c>
      <c r="F42" s="66" t="s">
        <v>474</v>
      </c>
      <c r="G42" s="66" t="s">
        <v>475</v>
      </c>
      <c r="H42" s="66" t="s">
        <v>195</v>
      </c>
      <c r="I42" s="66" t="s">
        <v>221</v>
      </c>
      <c r="J42" s="67" t="n">
        <v>46095</v>
      </c>
      <c r="K42" s="67" t="n">
        <v>46277</v>
      </c>
      <c r="L42" s="67" t="n">
        <v>46377</v>
      </c>
      <c r="M42" s="66" t="n">
        <v>6</v>
      </c>
      <c r="N42" s="66"/>
      <c r="O42" s="66" t="s">
        <v>105</v>
      </c>
      <c r="P42" s="66" t="s">
        <v>274</v>
      </c>
      <c r="Q42" s="66" t="n">
        <f aca="false">IF(OR(H42="Initial Contact",H42="In Discussion",H42="Meeting Scheduled",H42="Engaged"),1,0)</f>
        <v>0</v>
      </c>
      <c r="R42" s="66" t="n">
        <f aca="false">IF(OR(K42="",K42&gt;Analysis!$B$3),"",Analysis!$B$3-K42)</f>
        <v>23</v>
      </c>
      <c r="S42" s="66" t="n">
        <f aca="false">IF(AND(Q42=1,L42&lt;&gt;"",L42&lt;Analysis!$B$3),1,0)</f>
        <v>0</v>
      </c>
      <c r="T42" s="66" t="n">
        <f aca="false">IF(Q42=1,IF(R42="",0,IF(R42&gt;Analysis!$B$4,1,0)),0)</f>
        <v>0</v>
      </c>
      <c r="U42" s="66" t="n">
        <f aca="false">IF(AND(Q42=1,L42=""),1,0)</f>
        <v>0</v>
      </c>
      <c r="V42" s="66" t="str">
        <f aca="false">IF(TRIM(F42)="","Missing",IF(IFERROR(FIND(".",F42,FIND("@",F42)),0)&gt;0,"Valid","Invalid"))</f>
        <v>Valid</v>
      </c>
      <c r="W42" s="66" t="str">
        <f aca="false">IF(TRIM(G42)="","Missing",IF(OR(AND(LEFT(G42,4)="+91 ",LEN(G42)=15),AND(LEFT(G42,7)="+91 11 ",LEN(G42)=16)),"Valid","Invalid"))</f>
        <v>Valid</v>
      </c>
      <c r="X42" s="66" t="n">
        <f aca="false">IF(AND(J42&lt;&gt;"",K42&lt;&gt;"",K42&lt;J42),1,0)</f>
        <v>0</v>
      </c>
      <c r="Y42" s="66" t="n">
        <f aca="false">IF(AND(K42&lt;&gt;"",K42&gt;Analysis!$B$3),1,0)</f>
        <v>0</v>
      </c>
      <c r="Z42" s="66" t="n">
        <f aca="false">IF(AND(Q42=1,ISNUMBER(SEARCH("declin",P42))),1,0)</f>
        <v>0</v>
      </c>
      <c r="AA42" s="66" t="n">
        <f aca="false">IF(Q42=1,S42*2+T42*2+U42+IF(I42="",1,0)+IF(N42="High",2,IF(N42="Medium",1,0)),0)</f>
        <v>0</v>
      </c>
      <c r="AB42" s="66" t="str">
        <f aca="false">IF(Q42=0,"",TRIM(IF(S42=1,"Follow-up overdue. ","")&amp;IF(T42=1,"No contact "&amp;Analysis!$B$4&amp;"+ days. ","")&amp;IF(U42=1,"No follow-up date. ","")&amp;IF(I42="","No owner. ","")&amp;IF(Z42=1,"Remarks conflict with status. ","")&amp;IF(X42=1,"Date error (last &lt; first). ","")&amp;IF(Y42=1,"Future-dated contact. ","")))</f>
        <v/>
      </c>
    </row>
    <row r="43" customFormat="false" ht="15" hidden="false" customHeight="false" outlineLevel="0" collapsed="false">
      <c r="A43" s="66" t="s">
        <v>39</v>
      </c>
      <c r="B43" s="66" t="s">
        <v>476</v>
      </c>
      <c r="C43" s="66" t="s">
        <v>209</v>
      </c>
      <c r="D43" s="66" t="s">
        <v>477</v>
      </c>
      <c r="E43" s="66" t="s">
        <v>348</v>
      </c>
      <c r="F43" s="66" t="s">
        <v>478</v>
      </c>
      <c r="G43" s="66" t="s">
        <v>479</v>
      </c>
      <c r="H43" s="66" t="s">
        <v>193</v>
      </c>
      <c r="I43" s="66" t="s">
        <v>220</v>
      </c>
      <c r="J43" s="67" t="n">
        <v>46156</v>
      </c>
      <c r="K43" s="67" t="n">
        <v>46169</v>
      </c>
      <c r="L43" s="67" t="n">
        <v>46210</v>
      </c>
      <c r="M43" s="66" t="n">
        <v>5</v>
      </c>
      <c r="N43" s="66" t="s">
        <v>85</v>
      </c>
      <c r="O43" s="66" t="s">
        <v>105</v>
      </c>
      <c r="P43" s="66" t="s">
        <v>287</v>
      </c>
      <c r="Q43" s="66" t="n">
        <f aca="false">IF(OR(H43="Initial Contact",H43="In Discussion",H43="Meeting Scheduled",H43="Engaged"),1,0)</f>
        <v>1</v>
      </c>
      <c r="R43" s="66" t="n">
        <f aca="false">IF(OR(K43="",K43&gt;Analysis!$B$3),"",Analysis!$B$3-K43)</f>
        <v>131</v>
      </c>
      <c r="S43" s="66" t="n">
        <f aca="false">IF(AND(Q43=1,L43&lt;&gt;"",L43&lt;Analysis!$B$3),1,0)</f>
        <v>1</v>
      </c>
      <c r="T43" s="66" t="n">
        <f aca="false">IF(Q43=1,IF(R43="",0,IF(R43&gt;Analysis!$B$4,1,0)),0)</f>
        <v>1</v>
      </c>
      <c r="U43" s="66" t="n">
        <f aca="false">IF(AND(Q43=1,L43=""),1,0)</f>
        <v>0</v>
      </c>
      <c r="V43" s="66" t="str">
        <f aca="false">IF(TRIM(F43)="","Missing",IF(IFERROR(FIND(".",F43,FIND("@",F43)),0)&gt;0,"Valid","Invalid"))</f>
        <v>Valid</v>
      </c>
      <c r="W43" s="66" t="str">
        <f aca="false">IF(TRIM(G43)="","Missing",IF(OR(AND(LEFT(G43,4)="+91 ",LEN(G43)=15),AND(LEFT(G43,7)="+91 11 ",LEN(G43)=16)),"Valid","Invalid"))</f>
        <v>Valid</v>
      </c>
      <c r="X43" s="66" t="n">
        <f aca="false">IF(AND(J43&lt;&gt;"",K43&lt;&gt;"",K43&lt;J43),1,0)</f>
        <v>0</v>
      </c>
      <c r="Y43" s="66" t="n">
        <f aca="false">IF(AND(K43&lt;&gt;"",K43&gt;Analysis!$B$3),1,0)</f>
        <v>0</v>
      </c>
      <c r="Z43" s="66" t="n">
        <f aca="false">IF(AND(Q43=1,ISNUMBER(SEARCH("declin",P43))),1,0)</f>
        <v>0</v>
      </c>
      <c r="AA43" s="66" t="n">
        <f aca="false">IF(Q43=1,S43*2+T43*2+U43+IF(I43="",1,0)+IF(N43="High",2,IF(N43="Medium",1,0)),0)</f>
        <v>5</v>
      </c>
      <c r="AB43" s="66" t="str">
        <f aca="false">IF(Q43=0,"",TRIM(IF(S43=1,"Follow-up overdue. ","")&amp;IF(T43=1,"No contact "&amp;Analysis!$B$4&amp;"+ days. ","")&amp;IF(U43=1,"No follow-up date. ","")&amp;IF(I43="","No owner. ","")&amp;IF(Z43=1,"Remarks conflict with status. ","")&amp;IF(X43=1,"Date error (last &lt; first). ","")&amp;IF(Y43=1,"Future-dated contact. ","")))</f>
        <v>Follow-up overdue. No contact 90+ days.</v>
      </c>
    </row>
    <row r="44" customFormat="false" ht="15" hidden="false" customHeight="false" outlineLevel="0" collapsed="false">
      <c r="A44" s="66" t="s">
        <v>480</v>
      </c>
      <c r="B44" s="66" t="s">
        <v>481</v>
      </c>
      <c r="C44" s="66" t="s">
        <v>209</v>
      </c>
      <c r="D44" s="66" t="s">
        <v>482</v>
      </c>
      <c r="E44" s="66" t="s">
        <v>324</v>
      </c>
      <c r="F44" s="66" t="s">
        <v>483</v>
      </c>
      <c r="G44" s="66" t="s">
        <v>484</v>
      </c>
      <c r="H44" s="66" t="s">
        <v>195</v>
      </c>
      <c r="I44" s="66" t="s">
        <v>222</v>
      </c>
      <c r="J44" s="67" t="n">
        <v>45867</v>
      </c>
      <c r="K44" s="67" t="n">
        <v>46068</v>
      </c>
      <c r="L44" s="67" t="n">
        <v>46183</v>
      </c>
      <c r="M44" s="66" t="n">
        <v>2</v>
      </c>
      <c r="N44" s="66" t="s">
        <v>106</v>
      </c>
      <c r="O44" s="66" t="s">
        <v>97</v>
      </c>
      <c r="P44" s="66" t="s">
        <v>421</v>
      </c>
      <c r="Q44" s="66" t="n">
        <f aca="false">IF(OR(H44="Initial Contact",H44="In Discussion",H44="Meeting Scheduled",H44="Engaged"),1,0)</f>
        <v>0</v>
      </c>
      <c r="R44" s="66" t="n">
        <f aca="false">IF(OR(K44="",K44&gt;Analysis!$B$3),"",Analysis!$B$3-K44)</f>
        <v>232</v>
      </c>
      <c r="S44" s="66" t="n">
        <f aca="false">IF(AND(Q44=1,L44&lt;&gt;"",L44&lt;Analysis!$B$3),1,0)</f>
        <v>0</v>
      </c>
      <c r="T44" s="66" t="n">
        <f aca="false">IF(Q44=1,IF(R44="",0,IF(R44&gt;Analysis!$B$4,1,0)),0)</f>
        <v>0</v>
      </c>
      <c r="U44" s="66" t="n">
        <f aca="false">IF(AND(Q44=1,L44=""),1,0)</f>
        <v>0</v>
      </c>
      <c r="V44" s="66" t="str">
        <f aca="false">IF(TRIM(F44)="","Missing",IF(IFERROR(FIND(".",F44,FIND("@",F44)),0)&gt;0,"Valid","Invalid"))</f>
        <v>Valid</v>
      </c>
      <c r="W44" s="66" t="str">
        <f aca="false">IF(TRIM(G44)="","Missing",IF(OR(AND(LEFT(G44,4)="+91 ",LEN(G44)=15),AND(LEFT(G44,7)="+91 11 ",LEN(G44)=16)),"Valid","Invalid"))</f>
        <v>Valid</v>
      </c>
      <c r="X44" s="66" t="n">
        <f aca="false">IF(AND(J44&lt;&gt;"",K44&lt;&gt;"",K44&lt;J44),1,0)</f>
        <v>0</v>
      </c>
      <c r="Y44" s="66" t="n">
        <f aca="false">IF(AND(K44&lt;&gt;"",K44&gt;Analysis!$B$3),1,0)</f>
        <v>0</v>
      </c>
      <c r="Z44" s="66" t="n">
        <f aca="false">IF(AND(Q44=1,ISNUMBER(SEARCH("declin",P44))),1,0)</f>
        <v>0</v>
      </c>
      <c r="AA44" s="66" t="n">
        <f aca="false">IF(Q44=1,S44*2+T44*2+U44+IF(I44="",1,0)+IF(N44="High",2,IF(N44="Medium",1,0)),0)</f>
        <v>0</v>
      </c>
      <c r="AB44" s="66" t="str">
        <f aca="false">IF(Q44=0,"",TRIM(IF(S44=1,"Follow-up overdue. ","")&amp;IF(T44=1,"No contact "&amp;Analysis!$B$4&amp;"+ days. ","")&amp;IF(U44=1,"No follow-up date. ","")&amp;IF(I44="","No owner. ","")&amp;IF(Z44=1,"Remarks conflict with status. ","")&amp;IF(X44=1,"Date error (last &lt; first). ","")&amp;IF(Y44=1,"Future-dated contact. ","")))</f>
        <v/>
      </c>
    </row>
    <row r="45" customFormat="false" ht="15" hidden="false" customHeight="false" outlineLevel="0" collapsed="false">
      <c r="A45" s="66" t="s">
        <v>485</v>
      </c>
      <c r="B45" s="66" t="s">
        <v>486</v>
      </c>
      <c r="C45" s="66" t="s">
        <v>209</v>
      </c>
      <c r="D45" s="66" t="s">
        <v>487</v>
      </c>
      <c r="E45" s="66" t="s">
        <v>336</v>
      </c>
      <c r="F45" s="66" t="s">
        <v>488</v>
      </c>
      <c r="G45" s="66" t="s">
        <v>489</v>
      </c>
      <c r="H45" s="66" t="s">
        <v>196</v>
      </c>
      <c r="I45" s="66" t="s">
        <v>219</v>
      </c>
      <c r="J45" s="67" t="n">
        <v>45772</v>
      </c>
      <c r="K45" s="67" t="n">
        <v>46105</v>
      </c>
      <c r="L45" s="67"/>
      <c r="M45" s="66" t="n">
        <v>2</v>
      </c>
      <c r="N45" s="66" t="s">
        <v>106</v>
      </c>
      <c r="O45" s="66" t="s">
        <v>227</v>
      </c>
      <c r="P45" s="66" t="s">
        <v>490</v>
      </c>
      <c r="Q45" s="66" t="n">
        <f aca="false">IF(OR(H45="Initial Contact",H45="In Discussion",H45="Meeting Scheduled",H45="Engaged"),1,0)</f>
        <v>0</v>
      </c>
      <c r="R45" s="66" t="n">
        <f aca="false">IF(OR(K45="",K45&gt;Analysis!$B$3),"",Analysis!$B$3-K45)</f>
        <v>195</v>
      </c>
      <c r="S45" s="66" t="n">
        <f aca="false">IF(AND(Q45=1,L45&lt;&gt;"",L45&lt;Analysis!$B$3),1,0)</f>
        <v>0</v>
      </c>
      <c r="T45" s="66" t="n">
        <f aca="false">IF(Q45=1,IF(R45="",0,IF(R45&gt;Analysis!$B$4,1,0)),0)</f>
        <v>0</v>
      </c>
      <c r="U45" s="66" t="n">
        <f aca="false">IF(AND(Q45=1,L45=""),1,0)</f>
        <v>0</v>
      </c>
      <c r="V45" s="66" t="str">
        <f aca="false">IF(TRIM(F45)="","Missing",IF(IFERROR(FIND(".",F45,FIND("@",F45)),0)&gt;0,"Valid","Invalid"))</f>
        <v>Valid</v>
      </c>
      <c r="W45" s="66" t="str">
        <f aca="false">IF(TRIM(G45)="","Missing",IF(OR(AND(LEFT(G45,4)="+91 ",LEN(G45)=15),AND(LEFT(G45,7)="+91 11 ",LEN(G45)=16)),"Valid","Invalid"))</f>
        <v>Invalid</v>
      </c>
      <c r="X45" s="66" t="n">
        <f aca="false">IF(AND(J45&lt;&gt;"",K45&lt;&gt;"",K45&lt;J45),1,0)</f>
        <v>0</v>
      </c>
      <c r="Y45" s="66" t="n">
        <f aca="false">IF(AND(K45&lt;&gt;"",K45&gt;Analysis!$B$3),1,0)</f>
        <v>0</v>
      </c>
      <c r="Z45" s="66" t="n">
        <f aca="false">IF(AND(Q45=1,ISNUMBER(SEARCH("declin",P45))),1,0)</f>
        <v>0</v>
      </c>
      <c r="AA45" s="66" t="n">
        <f aca="false">IF(Q45=1,S45*2+T45*2+U45+IF(I45="",1,0)+IF(N45="High",2,IF(N45="Medium",1,0)),0)</f>
        <v>0</v>
      </c>
      <c r="AB45" s="66" t="str">
        <f aca="false">IF(Q45=0,"",TRIM(IF(S45=1,"Follow-up overdue. ","")&amp;IF(T45=1,"No contact "&amp;Analysis!$B$4&amp;"+ days. ","")&amp;IF(U45=1,"No follow-up date. ","")&amp;IF(I45="","No owner. ","")&amp;IF(Z45=1,"Remarks conflict with status. ","")&amp;IF(X45=1,"Date error (last &lt; first). ","")&amp;IF(Y45=1,"Future-dated contact. ","")))</f>
        <v/>
      </c>
    </row>
    <row r="46" customFormat="false" ht="15" hidden="false" customHeight="false" outlineLevel="0" collapsed="false">
      <c r="A46" s="66" t="s">
        <v>491</v>
      </c>
      <c r="B46" s="66" t="s">
        <v>492</v>
      </c>
      <c r="C46" s="66" t="s">
        <v>209</v>
      </c>
      <c r="D46" s="66" t="s">
        <v>493</v>
      </c>
      <c r="E46" s="66" t="s">
        <v>336</v>
      </c>
      <c r="F46" s="66" t="s">
        <v>494</v>
      </c>
      <c r="G46" s="66" t="s">
        <v>495</v>
      </c>
      <c r="H46" s="66" t="s">
        <v>14</v>
      </c>
      <c r="I46" s="66" t="s">
        <v>221</v>
      </c>
      <c r="J46" s="67" t="n">
        <v>45911</v>
      </c>
      <c r="K46" s="67" t="n">
        <v>46231</v>
      </c>
      <c r="L46" s="67" t="n">
        <v>46278</v>
      </c>
      <c r="M46" s="66" t="n">
        <v>10</v>
      </c>
      <c r="N46" s="66" t="s">
        <v>64</v>
      </c>
      <c r="O46" s="66" t="s">
        <v>97</v>
      </c>
      <c r="P46" s="66" t="s">
        <v>281</v>
      </c>
      <c r="Q46" s="66" t="n">
        <f aca="false">IF(OR(H46="Initial Contact",H46="In Discussion",H46="Meeting Scheduled",H46="Engaged"),1,0)</f>
        <v>1</v>
      </c>
      <c r="R46" s="66" t="n">
        <f aca="false">IF(OR(K46="",K46&gt;Analysis!$B$3),"",Analysis!$B$3-K46)</f>
        <v>69</v>
      </c>
      <c r="S46" s="66" t="n">
        <f aca="false">IF(AND(Q46=1,L46&lt;&gt;"",L46&lt;Analysis!$B$3),1,0)</f>
        <v>1</v>
      </c>
      <c r="T46" s="66" t="n">
        <f aca="false">IF(Q46=1,IF(R46="",0,IF(R46&gt;Analysis!$B$4,1,0)),0)</f>
        <v>0</v>
      </c>
      <c r="U46" s="66" t="n">
        <f aca="false">IF(AND(Q46=1,L46=""),1,0)</f>
        <v>0</v>
      </c>
      <c r="V46" s="66" t="str">
        <f aca="false">IF(TRIM(F46)="","Missing",IF(IFERROR(FIND(".",F46,FIND("@",F46)),0)&gt;0,"Valid","Invalid"))</f>
        <v>Valid</v>
      </c>
      <c r="W46" s="66" t="str">
        <f aca="false">IF(TRIM(G46)="","Missing",IF(OR(AND(LEFT(G46,4)="+91 ",LEN(G46)=15),AND(LEFT(G46,7)="+91 11 ",LEN(G46)=16)),"Valid","Invalid"))</f>
        <v>Valid</v>
      </c>
      <c r="X46" s="66" t="n">
        <f aca="false">IF(AND(J46&lt;&gt;"",K46&lt;&gt;"",K46&lt;J46),1,0)</f>
        <v>0</v>
      </c>
      <c r="Y46" s="66" t="n">
        <f aca="false">IF(AND(K46&lt;&gt;"",K46&gt;Analysis!$B$3),1,0)</f>
        <v>0</v>
      </c>
      <c r="Z46" s="66" t="n">
        <f aca="false">IF(AND(Q46=1,ISNUMBER(SEARCH("declin",P46))),1,0)</f>
        <v>0</v>
      </c>
      <c r="AA46" s="66" t="n">
        <f aca="false">IF(Q46=1,S46*2+T46*2+U46+IF(I46="",1,0)+IF(N46="High",2,IF(N46="Medium",1,0)),0)</f>
        <v>4</v>
      </c>
      <c r="AB46" s="66" t="str">
        <f aca="false">IF(Q46=0,"",TRIM(IF(S46=1,"Follow-up overdue. ","")&amp;IF(T46=1,"No contact "&amp;Analysis!$B$4&amp;"+ days. ","")&amp;IF(U46=1,"No follow-up date. ","")&amp;IF(I46="","No owner. ","")&amp;IF(Z46=1,"Remarks conflict with status. ","")&amp;IF(X46=1,"Date error (last &lt; first). ","")&amp;IF(Y46=1,"Future-dated contact. ","")))</f>
        <v>Follow-up overdue.</v>
      </c>
    </row>
    <row r="47" customFormat="false" ht="15" hidden="false" customHeight="false" outlineLevel="0" collapsed="false">
      <c r="A47" s="66" t="s">
        <v>496</v>
      </c>
      <c r="B47" s="66" t="s">
        <v>497</v>
      </c>
      <c r="C47" s="66" t="s">
        <v>209</v>
      </c>
      <c r="D47" s="66" t="s">
        <v>498</v>
      </c>
      <c r="E47" s="66" t="s">
        <v>324</v>
      </c>
      <c r="F47" s="66" t="s">
        <v>499</v>
      </c>
      <c r="G47" s="66" t="s">
        <v>500</v>
      </c>
      <c r="H47" s="66" t="s">
        <v>196</v>
      </c>
      <c r="I47" s="66" t="s">
        <v>218</v>
      </c>
      <c r="J47" s="67" t="n">
        <v>46235</v>
      </c>
      <c r="K47" s="67" t="n">
        <v>46017</v>
      </c>
      <c r="L47" s="67"/>
      <c r="M47" s="66"/>
      <c r="N47" s="66" t="s">
        <v>106</v>
      </c>
      <c r="O47" s="66" t="s">
        <v>229</v>
      </c>
      <c r="P47" s="66" t="s">
        <v>490</v>
      </c>
      <c r="Q47" s="66" t="n">
        <f aca="false">IF(OR(H47="Initial Contact",H47="In Discussion",H47="Meeting Scheduled",H47="Engaged"),1,0)</f>
        <v>0</v>
      </c>
      <c r="R47" s="66" t="n">
        <f aca="false">IF(OR(K47="",K47&gt;Analysis!$B$3),"",Analysis!$B$3-K47)</f>
        <v>283</v>
      </c>
      <c r="S47" s="66" t="n">
        <f aca="false">IF(AND(Q47=1,L47&lt;&gt;"",L47&lt;Analysis!$B$3),1,0)</f>
        <v>0</v>
      </c>
      <c r="T47" s="66" t="n">
        <f aca="false">IF(Q47=1,IF(R47="",0,IF(R47&gt;Analysis!$B$4,1,0)),0)</f>
        <v>0</v>
      </c>
      <c r="U47" s="66" t="n">
        <f aca="false">IF(AND(Q47=1,L47=""),1,0)</f>
        <v>0</v>
      </c>
      <c r="V47" s="66" t="str">
        <f aca="false">IF(TRIM(F47)="","Missing",IF(IFERROR(FIND(".",F47,FIND("@",F47)),0)&gt;0,"Valid","Invalid"))</f>
        <v>Valid</v>
      </c>
      <c r="W47" s="66" t="str">
        <f aca="false">IF(TRIM(G47)="","Missing",IF(OR(AND(LEFT(G47,4)="+91 ",LEN(G47)=15),AND(LEFT(G47,7)="+91 11 ",LEN(G47)=16)),"Valid","Invalid"))</f>
        <v>Valid</v>
      </c>
      <c r="X47" s="66" t="n">
        <f aca="false">IF(AND(J47&lt;&gt;"",K47&lt;&gt;"",K47&lt;J47),1,0)</f>
        <v>1</v>
      </c>
      <c r="Y47" s="66" t="n">
        <f aca="false">IF(AND(K47&lt;&gt;"",K47&gt;Analysis!$B$3),1,0)</f>
        <v>0</v>
      </c>
      <c r="Z47" s="66" t="n">
        <f aca="false">IF(AND(Q47=1,ISNUMBER(SEARCH("declin",P47))),1,0)</f>
        <v>0</v>
      </c>
      <c r="AA47" s="66" t="n">
        <f aca="false">IF(Q47=1,S47*2+T47*2+U47+IF(I47="",1,0)+IF(N47="High",2,IF(N47="Medium",1,0)),0)</f>
        <v>0</v>
      </c>
      <c r="AB47" s="66" t="str">
        <f aca="false">IF(Q47=0,"",TRIM(IF(S47=1,"Follow-up overdue. ","")&amp;IF(T47=1,"No contact "&amp;Analysis!$B$4&amp;"+ days. ","")&amp;IF(U47=1,"No follow-up date. ","")&amp;IF(I47="","No owner. ","")&amp;IF(Z47=1,"Remarks conflict with status. ","")&amp;IF(X47=1,"Date error (last &lt; first). ","")&amp;IF(Y47=1,"Future-dated contact. ","")))</f>
        <v/>
      </c>
    </row>
    <row r="48" customFormat="false" ht="15" hidden="false" customHeight="false" outlineLevel="0" collapsed="false">
      <c r="A48" s="66" t="s">
        <v>501</v>
      </c>
      <c r="B48" s="66" t="s">
        <v>502</v>
      </c>
      <c r="C48" s="66" t="s">
        <v>209</v>
      </c>
      <c r="D48" s="66" t="s">
        <v>290</v>
      </c>
      <c r="E48" s="66" t="s">
        <v>324</v>
      </c>
      <c r="F48" s="66" t="s">
        <v>503</v>
      </c>
      <c r="G48" s="66" t="s">
        <v>504</v>
      </c>
      <c r="H48" s="66" t="s">
        <v>14</v>
      </c>
      <c r="I48" s="66" t="s">
        <v>219</v>
      </c>
      <c r="J48" s="67" t="n">
        <v>46149</v>
      </c>
      <c r="K48" s="67"/>
      <c r="L48" s="67" t="n">
        <v>46358</v>
      </c>
      <c r="M48" s="66" t="n">
        <v>0</v>
      </c>
      <c r="N48" s="66" t="s">
        <v>64</v>
      </c>
      <c r="O48" s="66" t="s">
        <v>229</v>
      </c>
      <c r="P48" s="66" t="s">
        <v>505</v>
      </c>
      <c r="Q48" s="66" t="n">
        <f aca="false">IF(OR(H48="Initial Contact",H48="In Discussion",H48="Meeting Scheduled",H48="Engaged"),1,0)</f>
        <v>1</v>
      </c>
      <c r="R48" s="66" t="str">
        <f aca="false">IF(OR(K48="",K48&gt;Analysis!$B$3),"",Analysis!$B$3-K48)</f>
        <v/>
      </c>
      <c r="S48" s="66" t="n">
        <f aca="false">IF(AND(Q48=1,L48&lt;&gt;"",L48&lt;Analysis!$B$3),1,0)</f>
        <v>0</v>
      </c>
      <c r="T48" s="66" t="n">
        <f aca="false">IF(Q48=1,IF(R48="",0,IF(R48&gt;Analysis!$B$4,1,0)),0)</f>
        <v>0</v>
      </c>
      <c r="U48" s="66" t="n">
        <f aca="false">IF(AND(Q48=1,L48=""),1,0)</f>
        <v>0</v>
      </c>
      <c r="V48" s="66" t="str">
        <f aca="false">IF(TRIM(F48)="","Missing",IF(IFERROR(FIND(".",F48,FIND("@",F48)),0)&gt;0,"Valid","Invalid"))</f>
        <v>Valid</v>
      </c>
      <c r="W48" s="66" t="str">
        <f aca="false">IF(TRIM(G48)="","Missing",IF(OR(AND(LEFT(G48,4)="+91 ",LEN(G48)=15),AND(LEFT(G48,7)="+91 11 ",LEN(G48)=16)),"Valid","Invalid"))</f>
        <v>Valid</v>
      </c>
      <c r="X48" s="66" t="n">
        <f aca="false">IF(AND(J48&lt;&gt;"",K48&lt;&gt;"",K48&lt;J48),1,0)</f>
        <v>0</v>
      </c>
      <c r="Y48" s="66" t="n">
        <f aca="false">IF(AND(K48&lt;&gt;"",K48&gt;Analysis!$B$3),1,0)</f>
        <v>0</v>
      </c>
      <c r="Z48" s="66" t="n">
        <f aca="false">IF(AND(Q48=1,ISNUMBER(SEARCH("declin",P48))),1,0)</f>
        <v>0</v>
      </c>
      <c r="AA48" s="66" t="n">
        <f aca="false">IF(Q48=1,S48*2+T48*2+U48+IF(I48="",1,0)+IF(N48="High",2,IF(N48="Medium",1,0)),0)</f>
        <v>2</v>
      </c>
      <c r="AB48" s="66" t="str">
        <f aca="false">IF(Q48=0,"",TRIM(IF(S48=1,"Follow-up overdue. ","")&amp;IF(T48=1,"No contact "&amp;Analysis!$B$4&amp;"+ days. ","")&amp;IF(U48=1,"No follow-up date. ","")&amp;IF(I48="","No owner. ","")&amp;IF(Z48=1,"Remarks conflict with status. ","")&amp;IF(X48=1,"Date error (last &lt; first). ","")&amp;IF(Y48=1,"Future-dated contact. ","")))</f>
        <v/>
      </c>
    </row>
    <row r="49" customFormat="false" ht="15" hidden="false" customHeight="false" outlineLevel="0" collapsed="false">
      <c r="A49" s="66" t="s">
        <v>506</v>
      </c>
      <c r="B49" s="66" t="s">
        <v>507</v>
      </c>
      <c r="C49" s="66" t="s">
        <v>209</v>
      </c>
      <c r="D49" s="66" t="s">
        <v>508</v>
      </c>
      <c r="E49" s="66" t="s">
        <v>308</v>
      </c>
      <c r="F49" s="66"/>
      <c r="G49" s="66" t="s">
        <v>509</v>
      </c>
      <c r="H49" s="66" t="s">
        <v>192</v>
      </c>
      <c r="I49" s="66" t="s">
        <v>221</v>
      </c>
      <c r="J49" s="67" t="n">
        <v>45968</v>
      </c>
      <c r="K49" s="67" t="n">
        <v>46272</v>
      </c>
      <c r="L49" s="67" t="n">
        <v>46312</v>
      </c>
      <c r="M49" s="66" t="n">
        <v>1</v>
      </c>
      <c r="N49" s="66" t="s">
        <v>85</v>
      </c>
      <c r="O49" s="66" t="s">
        <v>105</v>
      </c>
      <c r="P49" s="66" t="s">
        <v>510</v>
      </c>
      <c r="Q49" s="66" t="n">
        <f aca="false">IF(OR(H49="Initial Contact",H49="In Discussion",H49="Meeting Scheduled",H49="Engaged"),1,0)</f>
        <v>1</v>
      </c>
      <c r="R49" s="66" t="n">
        <f aca="false">IF(OR(K49="",K49&gt;Analysis!$B$3),"",Analysis!$B$3-K49)</f>
        <v>28</v>
      </c>
      <c r="S49" s="66" t="n">
        <f aca="false">IF(AND(Q49=1,L49&lt;&gt;"",L49&lt;Analysis!$B$3),1,0)</f>
        <v>0</v>
      </c>
      <c r="T49" s="66" t="n">
        <f aca="false">IF(Q49=1,IF(R49="",0,IF(R49&gt;Analysis!$B$4,1,0)),0)</f>
        <v>0</v>
      </c>
      <c r="U49" s="66" t="n">
        <f aca="false">IF(AND(Q49=1,L49=""),1,0)</f>
        <v>0</v>
      </c>
      <c r="V49" s="66" t="str">
        <f aca="false">IF(TRIM(F49)="","Missing",IF(IFERROR(FIND(".",F49,FIND("@",F49)),0)&gt;0,"Valid","Invalid"))</f>
        <v>Missing</v>
      </c>
      <c r="W49" s="66" t="str">
        <f aca="false">IF(TRIM(G49)="","Missing",IF(OR(AND(LEFT(G49,4)="+91 ",LEN(G49)=15),AND(LEFT(G49,7)="+91 11 ",LEN(G49)=16)),"Valid","Invalid"))</f>
        <v>Valid</v>
      </c>
      <c r="X49" s="66" t="n">
        <f aca="false">IF(AND(J49&lt;&gt;"",K49&lt;&gt;"",K49&lt;J49),1,0)</f>
        <v>0</v>
      </c>
      <c r="Y49" s="66" t="n">
        <f aca="false">IF(AND(K49&lt;&gt;"",K49&gt;Analysis!$B$3),1,0)</f>
        <v>0</v>
      </c>
      <c r="Z49" s="66" t="n">
        <f aca="false">IF(AND(Q49=1,ISNUMBER(SEARCH("declin",P49))),1,0)</f>
        <v>0</v>
      </c>
      <c r="AA49" s="66" t="n">
        <f aca="false">IF(Q49=1,S49*2+T49*2+U49+IF(I49="",1,0)+IF(N49="High",2,IF(N49="Medium",1,0)),0)</f>
        <v>1</v>
      </c>
      <c r="AB49" s="66" t="str">
        <f aca="false">IF(Q49=0,"",TRIM(IF(S49=1,"Follow-up overdue. ","")&amp;IF(T49=1,"No contact "&amp;Analysis!$B$4&amp;"+ days. ","")&amp;IF(U49=1,"No follow-up date. ","")&amp;IF(I49="","No owner. ","")&amp;IF(Z49=1,"Remarks conflict with status. ","")&amp;IF(X49=1,"Date error (last &lt; first). ","")&amp;IF(Y49=1,"Future-dated contact. ","")))</f>
        <v/>
      </c>
    </row>
    <row r="50" customFormat="false" ht="15" hidden="false" customHeight="false" outlineLevel="0" collapsed="false">
      <c r="A50" s="66" t="s">
        <v>511</v>
      </c>
      <c r="B50" s="66" t="s">
        <v>512</v>
      </c>
      <c r="C50" s="66" t="s">
        <v>210</v>
      </c>
      <c r="D50" s="66" t="s">
        <v>513</v>
      </c>
      <c r="E50" s="66" t="s">
        <v>348</v>
      </c>
      <c r="F50" s="66" t="s">
        <v>514</v>
      </c>
      <c r="G50" s="66" t="s">
        <v>515</v>
      </c>
      <c r="H50" s="66" t="s">
        <v>195</v>
      </c>
      <c r="I50" s="66" t="s">
        <v>219</v>
      </c>
      <c r="J50" s="67" t="n">
        <v>46221</v>
      </c>
      <c r="K50" s="67" t="n">
        <v>46287</v>
      </c>
      <c r="L50" s="67" t="n">
        <v>46392</v>
      </c>
      <c r="M50" s="66"/>
      <c r="N50" s="66" t="s">
        <v>106</v>
      </c>
      <c r="O50" s="66" t="s">
        <v>228</v>
      </c>
      <c r="P50" s="66" t="s">
        <v>321</v>
      </c>
      <c r="Q50" s="66" t="n">
        <f aca="false">IF(OR(H50="Initial Contact",H50="In Discussion",H50="Meeting Scheduled",H50="Engaged"),1,0)</f>
        <v>0</v>
      </c>
      <c r="R50" s="66" t="n">
        <f aca="false">IF(OR(K50="",K50&gt;Analysis!$B$3),"",Analysis!$B$3-K50)</f>
        <v>13</v>
      </c>
      <c r="S50" s="66" t="n">
        <f aca="false">IF(AND(Q50=1,L50&lt;&gt;"",L50&lt;Analysis!$B$3),1,0)</f>
        <v>0</v>
      </c>
      <c r="T50" s="66" t="n">
        <f aca="false">IF(Q50=1,IF(R50="",0,IF(R50&gt;Analysis!$B$4,1,0)),0)</f>
        <v>0</v>
      </c>
      <c r="U50" s="66" t="n">
        <f aca="false">IF(AND(Q50=1,L50=""),1,0)</f>
        <v>0</v>
      </c>
      <c r="V50" s="66" t="str">
        <f aca="false">IF(TRIM(F50)="","Missing",IF(IFERROR(FIND(".",F50,FIND("@",F50)),0)&gt;0,"Valid","Invalid"))</f>
        <v>Invalid</v>
      </c>
      <c r="W50" s="66" t="str">
        <f aca="false">IF(TRIM(G50)="","Missing",IF(OR(AND(LEFT(G50,4)="+91 ",LEN(G50)=15),AND(LEFT(G50,7)="+91 11 ",LEN(G50)=16)),"Valid","Invalid"))</f>
        <v>Valid</v>
      </c>
      <c r="X50" s="66" t="n">
        <f aca="false">IF(AND(J50&lt;&gt;"",K50&lt;&gt;"",K50&lt;J50),1,0)</f>
        <v>0</v>
      </c>
      <c r="Y50" s="66" t="n">
        <f aca="false">IF(AND(K50&lt;&gt;"",K50&gt;Analysis!$B$3),1,0)</f>
        <v>0</v>
      </c>
      <c r="Z50" s="66" t="n">
        <f aca="false">IF(AND(Q50=1,ISNUMBER(SEARCH("declin",P50))),1,0)</f>
        <v>0</v>
      </c>
      <c r="AA50" s="66" t="n">
        <f aca="false">IF(Q50=1,S50*2+T50*2+U50+IF(I50="",1,0)+IF(N50="High",2,IF(N50="Medium",1,0)),0)</f>
        <v>0</v>
      </c>
      <c r="AB50" s="66" t="str">
        <f aca="false">IF(Q50=0,"",TRIM(IF(S50=1,"Follow-up overdue. ","")&amp;IF(T50=1,"No contact "&amp;Analysis!$B$4&amp;"+ days. ","")&amp;IF(U50=1,"No follow-up date. ","")&amp;IF(I50="","No owner. ","")&amp;IF(Z50=1,"Remarks conflict with status. ","")&amp;IF(X50=1,"Date error (last &lt; first). ","")&amp;IF(Y50=1,"Future-dated contact. ","")))</f>
        <v/>
      </c>
    </row>
    <row r="51" customFormat="false" ht="15" hidden="false" customHeight="false" outlineLevel="0" collapsed="false">
      <c r="A51" s="66" t="s">
        <v>38</v>
      </c>
      <c r="B51" s="66" t="s">
        <v>516</v>
      </c>
      <c r="C51" s="66" t="s">
        <v>210</v>
      </c>
      <c r="D51" s="66" t="s">
        <v>517</v>
      </c>
      <c r="E51" s="66" t="s">
        <v>259</v>
      </c>
      <c r="F51" s="66" t="s">
        <v>518</v>
      </c>
      <c r="G51" s="66" t="s">
        <v>519</v>
      </c>
      <c r="H51" s="66" t="s">
        <v>14</v>
      </c>
      <c r="I51" s="66" t="s">
        <v>222</v>
      </c>
      <c r="J51" s="67" t="n">
        <v>45703</v>
      </c>
      <c r="K51" s="67" t="n">
        <v>46160</v>
      </c>
      <c r="L51" s="67" t="n">
        <v>46203</v>
      </c>
      <c r="M51" s="66" t="n">
        <v>12</v>
      </c>
      <c r="N51" s="66" t="s">
        <v>85</v>
      </c>
      <c r="O51" s="66" t="s">
        <v>97</v>
      </c>
      <c r="P51" s="66" t="s">
        <v>379</v>
      </c>
      <c r="Q51" s="66" t="n">
        <f aca="false">IF(OR(H51="Initial Contact",H51="In Discussion",H51="Meeting Scheduled",H51="Engaged"),1,0)</f>
        <v>1</v>
      </c>
      <c r="R51" s="66" t="n">
        <f aca="false">IF(OR(K51="",K51&gt;Analysis!$B$3),"",Analysis!$B$3-K51)</f>
        <v>140</v>
      </c>
      <c r="S51" s="66" t="n">
        <f aca="false">IF(AND(Q51=1,L51&lt;&gt;"",L51&lt;Analysis!$B$3),1,0)</f>
        <v>1</v>
      </c>
      <c r="T51" s="66" t="n">
        <f aca="false">IF(Q51=1,IF(R51="",0,IF(R51&gt;Analysis!$B$4,1,0)),0)</f>
        <v>1</v>
      </c>
      <c r="U51" s="66" t="n">
        <f aca="false">IF(AND(Q51=1,L51=""),1,0)</f>
        <v>0</v>
      </c>
      <c r="V51" s="66" t="str">
        <f aca="false">IF(TRIM(F51)="","Missing",IF(IFERROR(FIND(".",F51,FIND("@",F51)),0)&gt;0,"Valid","Invalid"))</f>
        <v>Valid</v>
      </c>
      <c r="W51" s="66" t="str">
        <f aca="false">IF(TRIM(G51)="","Missing",IF(OR(AND(LEFT(G51,4)="+91 ",LEN(G51)=15),AND(LEFT(G51,7)="+91 11 ",LEN(G51)=16)),"Valid","Invalid"))</f>
        <v>Valid</v>
      </c>
      <c r="X51" s="66" t="n">
        <f aca="false">IF(AND(J51&lt;&gt;"",K51&lt;&gt;"",K51&lt;J51),1,0)</f>
        <v>0</v>
      </c>
      <c r="Y51" s="66" t="n">
        <f aca="false">IF(AND(K51&lt;&gt;"",K51&gt;Analysis!$B$3),1,0)</f>
        <v>0</v>
      </c>
      <c r="Z51" s="66" t="n">
        <f aca="false">IF(AND(Q51=1,ISNUMBER(SEARCH("declin",P51))),1,0)</f>
        <v>1</v>
      </c>
      <c r="AA51" s="66" t="n">
        <f aca="false">IF(Q51=1,S51*2+T51*2+U51+IF(I51="",1,0)+IF(N51="High",2,IF(N51="Medium",1,0)),0)</f>
        <v>5</v>
      </c>
      <c r="AB51" s="66" t="str">
        <f aca="false">IF(Q51=0,"",TRIM(IF(S51=1,"Follow-up overdue. ","")&amp;IF(T51=1,"No contact "&amp;Analysis!$B$4&amp;"+ days. ","")&amp;IF(U51=1,"No follow-up date. ","")&amp;IF(I51="","No owner. ","")&amp;IF(Z51=1,"Remarks conflict with status. ","")&amp;IF(X51=1,"Date error (last &lt; first). ","")&amp;IF(Y51=1,"Future-dated contact. ","")))</f>
        <v>Follow-up overdue. No contact 90+ days. Remarks conflict with status.</v>
      </c>
    </row>
    <row r="52" customFormat="false" ht="15" hidden="false" customHeight="false" outlineLevel="0" collapsed="false">
      <c r="A52" s="66" t="s">
        <v>520</v>
      </c>
      <c r="B52" s="66" t="s">
        <v>521</v>
      </c>
      <c r="C52" s="66" t="s">
        <v>210</v>
      </c>
      <c r="D52" s="66" t="s">
        <v>522</v>
      </c>
      <c r="E52" s="66" t="s">
        <v>348</v>
      </c>
      <c r="F52" s="66" t="s">
        <v>523</v>
      </c>
      <c r="G52" s="66" t="s">
        <v>524</v>
      </c>
      <c r="H52" s="66" t="s">
        <v>21</v>
      </c>
      <c r="I52" s="66"/>
      <c r="J52" s="67"/>
      <c r="K52" s="67"/>
      <c r="L52" s="67"/>
      <c r="M52" s="66" t="n">
        <v>0</v>
      </c>
      <c r="N52" s="66"/>
      <c r="O52" s="66"/>
      <c r="P52" s="66" t="s">
        <v>293</v>
      </c>
      <c r="Q52" s="66" t="n">
        <f aca="false">IF(OR(H52="Initial Contact",H52="In Discussion",H52="Meeting Scheduled",H52="Engaged"),1,0)</f>
        <v>0</v>
      </c>
      <c r="R52" s="66" t="str">
        <f aca="false">IF(OR(K52="",K52&gt;Analysis!$B$3),"",Analysis!$B$3-K52)</f>
        <v/>
      </c>
      <c r="S52" s="66" t="n">
        <f aca="false">IF(AND(Q52=1,L52&lt;&gt;"",L52&lt;Analysis!$B$3),1,0)</f>
        <v>0</v>
      </c>
      <c r="T52" s="66" t="n">
        <f aca="false">IF(Q52=1,IF(R52="",0,IF(R52&gt;Analysis!$B$4,1,0)),0)</f>
        <v>0</v>
      </c>
      <c r="U52" s="66" t="n">
        <f aca="false">IF(AND(Q52=1,L52=""),1,0)</f>
        <v>0</v>
      </c>
      <c r="V52" s="66" t="str">
        <f aca="false">IF(TRIM(F52)="","Missing",IF(IFERROR(FIND(".",F52,FIND("@",F52)),0)&gt;0,"Valid","Invalid"))</f>
        <v>Valid</v>
      </c>
      <c r="W52" s="66" t="str">
        <f aca="false">IF(TRIM(G52)="","Missing",IF(OR(AND(LEFT(G52,4)="+91 ",LEN(G52)=15),AND(LEFT(G52,7)="+91 11 ",LEN(G52)=16)),"Valid","Invalid"))</f>
        <v>Valid</v>
      </c>
      <c r="X52" s="66" t="n">
        <f aca="false">IF(AND(J52&lt;&gt;"",K52&lt;&gt;"",K52&lt;J52),1,0)</f>
        <v>0</v>
      </c>
      <c r="Y52" s="66" t="n">
        <f aca="false">IF(AND(K52&lt;&gt;"",K52&gt;Analysis!$B$3),1,0)</f>
        <v>0</v>
      </c>
      <c r="Z52" s="66" t="n">
        <f aca="false">IF(AND(Q52=1,ISNUMBER(SEARCH("declin",P52))),1,0)</f>
        <v>0</v>
      </c>
      <c r="AA52" s="66" t="n">
        <f aca="false">IF(Q52=1,S52*2+T52*2+U52+IF(I52="",1,0)+IF(N52="High",2,IF(N52="Medium",1,0)),0)</f>
        <v>0</v>
      </c>
      <c r="AB52" s="66" t="str">
        <f aca="false">IF(Q52=0,"",TRIM(IF(S52=1,"Follow-up overdue. ","")&amp;IF(T52=1,"No contact "&amp;Analysis!$B$4&amp;"+ days. ","")&amp;IF(U52=1,"No follow-up date. ","")&amp;IF(I52="","No owner. ","")&amp;IF(Z52=1,"Remarks conflict with status. ","")&amp;IF(X52=1,"Date error (last &lt; first). ","")&amp;IF(Y52=1,"Future-dated contact. ","")))</f>
        <v/>
      </c>
    </row>
    <row r="53" customFormat="false" ht="15" hidden="false" customHeight="false" outlineLevel="0" collapsed="false">
      <c r="A53" s="66" t="s">
        <v>34</v>
      </c>
      <c r="B53" s="66" t="s">
        <v>525</v>
      </c>
      <c r="C53" s="66" t="s">
        <v>210</v>
      </c>
      <c r="D53" s="66" t="s">
        <v>526</v>
      </c>
      <c r="E53" s="66" t="s">
        <v>308</v>
      </c>
      <c r="F53" s="66" t="s">
        <v>527</v>
      </c>
      <c r="G53" s="66"/>
      <c r="H53" s="66" t="s">
        <v>14</v>
      </c>
      <c r="I53" s="66" t="s">
        <v>221</v>
      </c>
      <c r="J53" s="67" t="n">
        <v>45965</v>
      </c>
      <c r="K53" s="67" t="n">
        <v>46073</v>
      </c>
      <c r="L53" s="67" t="n">
        <v>46090</v>
      </c>
      <c r="M53" s="66" t="n">
        <v>10</v>
      </c>
      <c r="N53" s="66" t="s">
        <v>64</v>
      </c>
      <c r="O53" s="66" t="s">
        <v>229</v>
      </c>
      <c r="P53" s="66" t="s">
        <v>405</v>
      </c>
      <c r="Q53" s="66" t="n">
        <f aca="false">IF(OR(H53="Initial Contact",H53="In Discussion",H53="Meeting Scheduled",H53="Engaged"),1,0)</f>
        <v>1</v>
      </c>
      <c r="R53" s="66" t="n">
        <f aca="false">IF(OR(K53="",K53&gt;Analysis!$B$3),"",Analysis!$B$3-K53)</f>
        <v>227</v>
      </c>
      <c r="S53" s="66" t="n">
        <f aca="false">IF(AND(Q53=1,L53&lt;&gt;"",L53&lt;Analysis!$B$3),1,0)</f>
        <v>1</v>
      </c>
      <c r="T53" s="66" t="n">
        <f aca="false">IF(Q53=1,IF(R53="",0,IF(R53&gt;Analysis!$B$4,1,0)),0)</f>
        <v>1</v>
      </c>
      <c r="U53" s="66" t="n">
        <f aca="false">IF(AND(Q53=1,L53=""),1,0)</f>
        <v>0</v>
      </c>
      <c r="V53" s="66" t="str">
        <f aca="false">IF(TRIM(F53)="","Missing",IF(IFERROR(FIND(".",F53,FIND("@",F53)),0)&gt;0,"Valid","Invalid"))</f>
        <v>Valid</v>
      </c>
      <c r="W53" s="66" t="str">
        <f aca="false">IF(TRIM(G53)="","Missing",IF(OR(AND(LEFT(G53,4)="+91 ",LEN(G53)=15),AND(LEFT(G53,7)="+91 11 ",LEN(G53)=16)),"Valid","Invalid"))</f>
        <v>Missing</v>
      </c>
      <c r="X53" s="66" t="n">
        <f aca="false">IF(AND(J53&lt;&gt;"",K53&lt;&gt;"",K53&lt;J53),1,0)</f>
        <v>0</v>
      </c>
      <c r="Y53" s="66" t="n">
        <f aca="false">IF(AND(K53&lt;&gt;"",K53&gt;Analysis!$B$3),1,0)</f>
        <v>0</v>
      </c>
      <c r="Z53" s="66" t="n">
        <f aca="false">IF(AND(Q53=1,ISNUMBER(SEARCH("declin",P53))),1,0)</f>
        <v>0</v>
      </c>
      <c r="AA53" s="66" t="n">
        <f aca="false">IF(Q53=1,S53*2+T53*2+U53+IF(I53="",1,0)+IF(N53="High",2,IF(N53="Medium",1,0)),0)</f>
        <v>6</v>
      </c>
      <c r="AB53" s="66" t="str">
        <f aca="false">IF(Q53=0,"",TRIM(IF(S53=1,"Follow-up overdue. ","")&amp;IF(T53=1,"No contact "&amp;Analysis!$B$4&amp;"+ days. ","")&amp;IF(U53=1,"No follow-up date. ","")&amp;IF(I53="","No owner. ","")&amp;IF(Z53=1,"Remarks conflict with status. ","")&amp;IF(X53=1,"Date error (last &lt; first). ","")&amp;IF(Y53=1,"Future-dated contact. ","")))</f>
        <v>Follow-up overdue. No contact 90+ days.</v>
      </c>
    </row>
    <row r="54" customFormat="false" ht="15" hidden="false" customHeight="false" outlineLevel="0" collapsed="false">
      <c r="A54" s="66" t="s">
        <v>33</v>
      </c>
      <c r="B54" s="66" t="s">
        <v>528</v>
      </c>
      <c r="C54" s="66" t="s">
        <v>210</v>
      </c>
      <c r="D54" s="66" t="s">
        <v>529</v>
      </c>
      <c r="E54" s="66" t="s">
        <v>308</v>
      </c>
      <c r="F54" s="66" t="s">
        <v>530</v>
      </c>
      <c r="G54" s="66" t="s">
        <v>531</v>
      </c>
      <c r="H54" s="66" t="s">
        <v>14</v>
      </c>
      <c r="I54" s="66" t="s">
        <v>217</v>
      </c>
      <c r="J54" s="67" t="n">
        <v>46292</v>
      </c>
      <c r="K54" s="67" t="n">
        <v>45970</v>
      </c>
      <c r="L54" s="67" t="n">
        <v>46290</v>
      </c>
      <c r="M54" s="66" t="n">
        <v>6</v>
      </c>
      <c r="N54" s="66" t="s">
        <v>64</v>
      </c>
      <c r="O54" s="66" t="s">
        <v>105</v>
      </c>
      <c r="P54" s="66" t="s">
        <v>384</v>
      </c>
      <c r="Q54" s="66" t="n">
        <f aca="false">IF(OR(H54="Initial Contact",H54="In Discussion",H54="Meeting Scheduled",H54="Engaged"),1,0)</f>
        <v>1</v>
      </c>
      <c r="R54" s="66" t="n">
        <f aca="false">IF(OR(K54="",K54&gt;Analysis!$B$3),"",Analysis!$B$3-K54)</f>
        <v>330</v>
      </c>
      <c r="S54" s="66" t="n">
        <f aca="false">IF(AND(Q54=1,L54&lt;&gt;"",L54&lt;Analysis!$B$3),1,0)</f>
        <v>1</v>
      </c>
      <c r="T54" s="66" t="n">
        <f aca="false">IF(Q54=1,IF(R54="",0,IF(R54&gt;Analysis!$B$4,1,0)),0)</f>
        <v>1</v>
      </c>
      <c r="U54" s="66" t="n">
        <f aca="false">IF(AND(Q54=1,L54=""),1,0)</f>
        <v>0</v>
      </c>
      <c r="V54" s="66" t="str">
        <f aca="false">IF(TRIM(F54)="","Missing",IF(IFERROR(FIND(".",F54,FIND("@",F54)),0)&gt;0,"Valid","Invalid"))</f>
        <v>Valid</v>
      </c>
      <c r="W54" s="66" t="str">
        <f aca="false">IF(TRIM(G54)="","Missing",IF(OR(AND(LEFT(G54,4)="+91 ",LEN(G54)=15),AND(LEFT(G54,7)="+91 11 ",LEN(G54)=16)),"Valid","Invalid"))</f>
        <v>Valid</v>
      </c>
      <c r="X54" s="66" t="n">
        <f aca="false">IF(AND(J54&lt;&gt;"",K54&lt;&gt;"",K54&lt;J54),1,0)</f>
        <v>1</v>
      </c>
      <c r="Y54" s="66" t="n">
        <f aca="false">IF(AND(K54&lt;&gt;"",K54&gt;Analysis!$B$3),1,0)</f>
        <v>0</v>
      </c>
      <c r="Z54" s="66" t="n">
        <f aca="false">IF(AND(Q54=1,ISNUMBER(SEARCH("declin",P54))),1,0)</f>
        <v>0</v>
      </c>
      <c r="AA54" s="66" t="n">
        <f aca="false">IF(Q54=1,S54*2+T54*2+U54+IF(I54="",1,0)+IF(N54="High",2,IF(N54="Medium",1,0)),0)</f>
        <v>6</v>
      </c>
      <c r="AB54" s="66" t="str">
        <f aca="false">IF(Q54=0,"",TRIM(IF(S54=1,"Follow-up overdue. ","")&amp;IF(T54=1,"No contact "&amp;Analysis!$B$4&amp;"+ days. ","")&amp;IF(U54=1,"No follow-up date. ","")&amp;IF(I54="","No owner. ","")&amp;IF(Z54=1,"Remarks conflict with status. ","")&amp;IF(X54=1,"Date error (last &lt; first). ","")&amp;IF(Y54=1,"Future-dated contact. ","")))</f>
        <v>Follow-up overdue. No contact 90+ days. Date error (last &lt; first).</v>
      </c>
    </row>
    <row r="55" customFormat="false" ht="15" hidden="false" customHeight="false" outlineLevel="0" collapsed="false">
      <c r="A55" s="66" t="s">
        <v>532</v>
      </c>
      <c r="B55" s="66" t="s">
        <v>533</v>
      </c>
      <c r="C55" s="66" t="s">
        <v>210</v>
      </c>
      <c r="D55" s="66" t="s">
        <v>534</v>
      </c>
      <c r="E55" s="66" t="s">
        <v>259</v>
      </c>
      <c r="F55" s="66" t="s">
        <v>535</v>
      </c>
      <c r="G55" s="66" t="s">
        <v>536</v>
      </c>
      <c r="H55" s="66" t="s">
        <v>193</v>
      </c>
      <c r="I55" s="66" t="s">
        <v>219</v>
      </c>
      <c r="J55" s="67" t="n">
        <v>46226</v>
      </c>
      <c r="K55" s="67" t="n">
        <v>46246</v>
      </c>
      <c r="L55" s="67"/>
      <c r="M55" s="66" t="n">
        <v>6</v>
      </c>
      <c r="N55" s="66" t="s">
        <v>64</v>
      </c>
      <c r="O55" s="66" t="s">
        <v>105</v>
      </c>
      <c r="P55" s="66" t="s">
        <v>360</v>
      </c>
      <c r="Q55" s="66" t="n">
        <f aca="false">IF(OR(H55="Initial Contact",H55="In Discussion",H55="Meeting Scheduled",H55="Engaged"),1,0)</f>
        <v>1</v>
      </c>
      <c r="R55" s="66" t="n">
        <f aca="false">IF(OR(K55="",K55&gt;Analysis!$B$3),"",Analysis!$B$3-K55)</f>
        <v>54</v>
      </c>
      <c r="S55" s="66" t="n">
        <f aca="false">IF(AND(Q55=1,L55&lt;&gt;"",L55&lt;Analysis!$B$3),1,0)</f>
        <v>0</v>
      </c>
      <c r="T55" s="66" t="n">
        <f aca="false">IF(Q55=1,IF(R55="",0,IF(R55&gt;Analysis!$B$4,1,0)),0)</f>
        <v>0</v>
      </c>
      <c r="U55" s="66" t="n">
        <f aca="false">IF(AND(Q55=1,L55=""),1,0)</f>
        <v>1</v>
      </c>
      <c r="V55" s="66" t="str">
        <f aca="false">IF(TRIM(F55)="","Missing",IF(IFERROR(FIND(".",F55,FIND("@",F55)),0)&gt;0,"Valid","Invalid"))</f>
        <v>Valid</v>
      </c>
      <c r="W55" s="66" t="str">
        <f aca="false">IF(TRIM(G55)="","Missing",IF(OR(AND(LEFT(G55,4)="+91 ",LEN(G55)=15),AND(LEFT(G55,7)="+91 11 ",LEN(G55)=16)),"Valid","Invalid"))</f>
        <v>Valid</v>
      </c>
      <c r="X55" s="66" t="n">
        <f aca="false">IF(AND(J55&lt;&gt;"",K55&lt;&gt;"",K55&lt;J55),1,0)</f>
        <v>0</v>
      </c>
      <c r="Y55" s="66" t="n">
        <f aca="false">IF(AND(K55&lt;&gt;"",K55&gt;Analysis!$B$3),1,0)</f>
        <v>0</v>
      </c>
      <c r="Z55" s="66" t="n">
        <f aca="false">IF(AND(Q55=1,ISNUMBER(SEARCH("declin",P55))),1,0)</f>
        <v>0</v>
      </c>
      <c r="AA55" s="66" t="n">
        <f aca="false">IF(Q55=1,S55*2+T55*2+U55+IF(I55="",1,0)+IF(N55="High",2,IF(N55="Medium",1,0)),0)</f>
        <v>3</v>
      </c>
      <c r="AB55" s="66" t="str">
        <f aca="false">IF(Q55=0,"",TRIM(IF(S55=1,"Follow-up overdue. ","")&amp;IF(T55=1,"No contact "&amp;Analysis!$B$4&amp;"+ days. ","")&amp;IF(U55=1,"No follow-up date. ","")&amp;IF(I55="","No owner. ","")&amp;IF(Z55=1,"Remarks conflict with status. ","")&amp;IF(X55=1,"Date error (last &lt; first). ","")&amp;IF(Y55=1,"Future-dated contact. ","")))</f>
        <v>No follow-up date.</v>
      </c>
    </row>
    <row r="56" customFormat="false" ht="15" hidden="false" customHeight="false" outlineLevel="0" collapsed="false">
      <c r="A56" s="66" t="s">
        <v>537</v>
      </c>
      <c r="B56" s="66" t="s">
        <v>538</v>
      </c>
      <c r="C56" s="66" t="s">
        <v>210</v>
      </c>
      <c r="D56" s="66" t="s">
        <v>539</v>
      </c>
      <c r="E56" s="66" t="s">
        <v>308</v>
      </c>
      <c r="F56" s="66" t="s">
        <v>540</v>
      </c>
      <c r="G56" s="66" t="s">
        <v>541</v>
      </c>
      <c r="H56" s="66" t="s">
        <v>195</v>
      </c>
      <c r="I56" s="66" t="s">
        <v>218</v>
      </c>
      <c r="J56" s="67" t="n">
        <v>46288</v>
      </c>
      <c r="K56" s="67" t="n">
        <v>45890</v>
      </c>
      <c r="L56" s="67" t="n">
        <v>46338</v>
      </c>
      <c r="M56" s="66" t="n">
        <v>5</v>
      </c>
      <c r="N56" s="66" t="s">
        <v>106</v>
      </c>
      <c r="O56" s="66" t="s">
        <v>97</v>
      </c>
      <c r="P56" s="66" t="s">
        <v>274</v>
      </c>
      <c r="Q56" s="66" t="n">
        <f aca="false">IF(OR(H56="Initial Contact",H56="In Discussion",H56="Meeting Scheduled",H56="Engaged"),1,0)</f>
        <v>0</v>
      </c>
      <c r="R56" s="66" t="n">
        <f aca="false">IF(OR(K56="",K56&gt;Analysis!$B$3),"",Analysis!$B$3-K56)</f>
        <v>410</v>
      </c>
      <c r="S56" s="66" t="n">
        <f aca="false">IF(AND(Q56=1,L56&lt;&gt;"",L56&lt;Analysis!$B$3),1,0)</f>
        <v>0</v>
      </c>
      <c r="T56" s="66" t="n">
        <f aca="false">IF(Q56=1,IF(R56="",0,IF(R56&gt;Analysis!$B$4,1,0)),0)</f>
        <v>0</v>
      </c>
      <c r="U56" s="66" t="n">
        <f aca="false">IF(AND(Q56=1,L56=""),1,0)</f>
        <v>0</v>
      </c>
      <c r="V56" s="66" t="str">
        <f aca="false">IF(TRIM(F56)="","Missing",IF(IFERROR(FIND(".",F56,FIND("@",F56)),0)&gt;0,"Valid","Invalid"))</f>
        <v>Valid</v>
      </c>
      <c r="W56" s="66" t="str">
        <f aca="false">IF(TRIM(G56)="","Missing",IF(OR(AND(LEFT(G56,4)="+91 ",LEN(G56)=15),AND(LEFT(G56,7)="+91 11 ",LEN(G56)=16)),"Valid","Invalid"))</f>
        <v>Valid</v>
      </c>
      <c r="X56" s="66" t="n">
        <f aca="false">IF(AND(J56&lt;&gt;"",K56&lt;&gt;"",K56&lt;J56),1,0)</f>
        <v>1</v>
      </c>
      <c r="Y56" s="66" t="n">
        <f aca="false">IF(AND(K56&lt;&gt;"",K56&gt;Analysis!$B$3),1,0)</f>
        <v>0</v>
      </c>
      <c r="Z56" s="66" t="n">
        <f aca="false">IF(AND(Q56=1,ISNUMBER(SEARCH("declin",P56))),1,0)</f>
        <v>0</v>
      </c>
      <c r="AA56" s="66" t="n">
        <f aca="false">IF(Q56=1,S56*2+T56*2+U56+IF(I56="",1,0)+IF(N56="High",2,IF(N56="Medium",1,0)),0)</f>
        <v>0</v>
      </c>
      <c r="AB56" s="66" t="str">
        <f aca="false">IF(Q56=0,"",TRIM(IF(S56=1,"Follow-up overdue. ","")&amp;IF(T56=1,"No contact "&amp;Analysis!$B$4&amp;"+ days. ","")&amp;IF(U56=1,"No follow-up date. ","")&amp;IF(I56="","No owner. ","")&amp;IF(Z56=1,"Remarks conflict with status. ","")&amp;IF(X56=1,"Date error (last &lt; first). ","")&amp;IF(Y56=1,"Future-dated contact. ","")))</f>
        <v/>
      </c>
    </row>
    <row r="57" customFormat="false" ht="15" hidden="false" customHeight="false" outlineLevel="0" collapsed="false">
      <c r="A57" s="66" t="s">
        <v>542</v>
      </c>
      <c r="B57" s="66" t="s">
        <v>543</v>
      </c>
      <c r="C57" s="66" t="s">
        <v>210</v>
      </c>
      <c r="D57" s="66" t="s">
        <v>544</v>
      </c>
      <c r="E57" s="66" t="s">
        <v>259</v>
      </c>
      <c r="F57" s="66" t="s">
        <v>545</v>
      </c>
      <c r="G57" s="66" t="s">
        <v>546</v>
      </c>
      <c r="H57" s="66" t="s">
        <v>194</v>
      </c>
      <c r="I57" s="66" t="s">
        <v>219</v>
      </c>
      <c r="J57" s="67" t="n">
        <v>46228</v>
      </c>
      <c r="K57" s="67" t="n">
        <v>46233</v>
      </c>
      <c r="L57" s="67" t="n">
        <v>46292</v>
      </c>
      <c r="M57" s="66" t="n">
        <v>10</v>
      </c>
      <c r="N57" s="66" t="s">
        <v>64</v>
      </c>
      <c r="O57" s="66" t="s">
        <v>105</v>
      </c>
      <c r="P57" s="66" t="s">
        <v>304</v>
      </c>
      <c r="Q57" s="66" t="n">
        <f aca="false">IF(OR(H57="Initial Contact",H57="In Discussion",H57="Meeting Scheduled",H57="Engaged"),1,0)</f>
        <v>1</v>
      </c>
      <c r="R57" s="66" t="n">
        <f aca="false">IF(OR(K57="",K57&gt;Analysis!$B$3),"",Analysis!$B$3-K57)</f>
        <v>67</v>
      </c>
      <c r="S57" s="66" t="n">
        <f aca="false">IF(AND(Q57=1,L57&lt;&gt;"",L57&lt;Analysis!$B$3),1,0)</f>
        <v>1</v>
      </c>
      <c r="T57" s="66" t="n">
        <f aca="false">IF(Q57=1,IF(R57="",0,IF(R57&gt;Analysis!$B$4,1,0)),0)</f>
        <v>0</v>
      </c>
      <c r="U57" s="66" t="n">
        <f aca="false">IF(AND(Q57=1,L57=""),1,0)</f>
        <v>0</v>
      </c>
      <c r="V57" s="66" t="str">
        <f aca="false">IF(TRIM(F57)="","Missing",IF(IFERROR(FIND(".",F57,FIND("@",F57)),0)&gt;0,"Valid","Invalid"))</f>
        <v>Valid</v>
      </c>
      <c r="W57" s="66" t="str">
        <f aca="false">IF(TRIM(G57)="","Missing",IF(OR(AND(LEFT(G57,4)="+91 ",LEN(G57)=15),AND(LEFT(G57,7)="+91 11 ",LEN(G57)=16)),"Valid","Invalid"))</f>
        <v>Valid</v>
      </c>
      <c r="X57" s="66" t="n">
        <f aca="false">IF(AND(J57&lt;&gt;"",K57&lt;&gt;"",K57&lt;J57),1,0)</f>
        <v>0</v>
      </c>
      <c r="Y57" s="66" t="n">
        <f aca="false">IF(AND(K57&lt;&gt;"",K57&gt;Analysis!$B$3),1,0)</f>
        <v>0</v>
      </c>
      <c r="Z57" s="66" t="n">
        <f aca="false">IF(AND(Q57=1,ISNUMBER(SEARCH("declin",P57))),1,0)</f>
        <v>0</v>
      </c>
      <c r="AA57" s="66" t="n">
        <f aca="false">IF(Q57=1,S57*2+T57*2+U57+IF(I57="",1,0)+IF(N57="High",2,IF(N57="Medium",1,0)),0)</f>
        <v>4</v>
      </c>
      <c r="AB57" s="66" t="str">
        <f aca="false">IF(Q57=0,"",TRIM(IF(S57=1,"Follow-up overdue. ","")&amp;IF(T57=1,"No contact "&amp;Analysis!$B$4&amp;"+ days. ","")&amp;IF(U57=1,"No follow-up date. ","")&amp;IF(I57="","No owner. ","")&amp;IF(Z57=1,"Remarks conflict with status. ","")&amp;IF(X57=1,"Date error (last &lt; first). ","")&amp;IF(Y57=1,"Future-dated contact. ","")))</f>
        <v>Follow-up overdue.</v>
      </c>
    </row>
    <row r="58" customFormat="false" ht="15" hidden="false" customHeight="false" outlineLevel="0" collapsed="false">
      <c r="A58" s="66" t="s">
        <v>44</v>
      </c>
      <c r="B58" s="66" t="s">
        <v>547</v>
      </c>
      <c r="C58" s="66" t="s">
        <v>210</v>
      </c>
      <c r="D58" s="66" t="s">
        <v>548</v>
      </c>
      <c r="E58" s="66" t="s">
        <v>265</v>
      </c>
      <c r="F58" s="66"/>
      <c r="G58" s="66" t="s">
        <v>549</v>
      </c>
      <c r="H58" s="66" t="s">
        <v>192</v>
      </c>
      <c r="I58" s="66" t="s">
        <v>222</v>
      </c>
      <c r="J58" s="67" t="n">
        <v>46068</v>
      </c>
      <c r="K58" s="67" t="n">
        <v>46079</v>
      </c>
      <c r="L58" s="67" t="n">
        <v>46120</v>
      </c>
      <c r="M58" s="66" t="n">
        <v>2</v>
      </c>
      <c r="N58" s="66" t="s">
        <v>106</v>
      </c>
      <c r="O58" s="66" t="s">
        <v>228</v>
      </c>
      <c r="P58" s="66" t="s">
        <v>510</v>
      </c>
      <c r="Q58" s="66" t="n">
        <f aca="false">IF(OR(H58="Initial Contact",H58="In Discussion",H58="Meeting Scheduled",H58="Engaged"),1,0)</f>
        <v>1</v>
      </c>
      <c r="R58" s="66" t="n">
        <f aca="false">IF(OR(K58="",K58&gt;Analysis!$B$3),"",Analysis!$B$3-K58)</f>
        <v>221</v>
      </c>
      <c r="S58" s="66" t="n">
        <f aca="false">IF(AND(Q58=1,L58&lt;&gt;"",L58&lt;Analysis!$B$3),1,0)</f>
        <v>1</v>
      </c>
      <c r="T58" s="66" t="n">
        <f aca="false">IF(Q58=1,IF(R58="",0,IF(R58&gt;Analysis!$B$4,1,0)),0)</f>
        <v>1</v>
      </c>
      <c r="U58" s="66" t="n">
        <f aca="false">IF(AND(Q58=1,L58=""),1,0)</f>
        <v>0</v>
      </c>
      <c r="V58" s="66" t="str">
        <f aca="false">IF(TRIM(F58)="","Missing",IF(IFERROR(FIND(".",F58,FIND("@",F58)),0)&gt;0,"Valid","Invalid"))</f>
        <v>Missing</v>
      </c>
      <c r="W58" s="66" t="str">
        <f aca="false">IF(TRIM(G58)="","Missing",IF(OR(AND(LEFT(G58,4)="+91 ",LEN(G58)=15),AND(LEFT(G58,7)="+91 11 ",LEN(G58)=16)),"Valid","Invalid"))</f>
        <v>Valid</v>
      </c>
      <c r="X58" s="66" t="n">
        <f aca="false">IF(AND(J58&lt;&gt;"",K58&lt;&gt;"",K58&lt;J58),1,0)</f>
        <v>0</v>
      </c>
      <c r="Y58" s="66" t="n">
        <f aca="false">IF(AND(K58&lt;&gt;"",K58&gt;Analysis!$B$3),1,0)</f>
        <v>0</v>
      </c>
      <c r="Z58" s="66" t="n">
        <f aca="false">IF(AND(Q58=1,ISNUMBER(SEARCH("declin",P58))),1,0)</f>
        <v>0</v>
      </c>
      <c r="AA58" s="66" t="n">
        <f aca="false">IF(Q58=1,S58*2+T58*2+U58+IF(I58="",1,0)+IF(N58="High",2,IF(N58="Medium",1,0)),0)</f>
        <v>4</v>
      </c>
      <c r="AB58" s="66" t="str">
        <f aca="false">IF(Q58=0,"",TRIM(IF(S58=1,"Follow-up overdue. ","")&amp;IF(T58=1,"No contact "&amp;Analysis!$B$4&amp;"+ days. ","")&amp;IF(U58=1,"No follow-up date. ","")&amp;IF(I58="","No owner. ","")&amp;IF(Z58=1,"Remarks conflict with status. ","")&amp;IF(X58=1,"Date error (last &lt; first). ","")&amp;IF(Y58=1,"Future-dated contact. ","")))</f>
        <v>Follow-up overdue. No contact 90+ days.</v>
      </c>
    </row>
    <row r="59" customFormat="false" ht="15" hidden="false" customHeight="false" outlineLevel="0" collapsed="false">
      <c r="A59" s="66" t="s">
        <v>550</v>
      </c>
      <c r="B59" s="66" t="s">
        <v>551</v>
      </c>
      <c r="C59" s="66" t="s">
        <v>210</v>
      </c>
      <c r="D59" s="66" t="s">
        <v>552</v>
      </c>
      <c r="E59" s="66" t="s">
        <v>278</v>
      </c>
      <c r="F59" s="66" t="s">
        <v>553</v>
      </c>
      <c r="G59" s="66" t="s">
        <v>554</v>
      </c>
      <c r="H59" s="66" t="s">
        <v>195</v>
      </c>
      <c r="I59" s="66" t="s">
        <v>222</v>
      </c>
      <c r="J59" s="67" t="n">
        <v>45748</v>
      </c>
      <c r="K59" s="67" t="n">
        <v>46261</v>
      </c>
      <c r="L59" s="67" t="n">
        <v>46338</v>
      </c>
      <c r="M59" s="66" t="n">
        <v>5</v>
      </c>
      <c r="N59" s="66" t="s">
        <v>106</v>
      </c>
      <c r="O59" s="66" t="s">
        <v>227</v>
      </c>
      <c r="P59" s="66" t="s">
        <v>321</v>
      </c>
      <c r="Q59" s="66" t="n">
        <f aca="false">IF(OR(H59="Initial Contact",H59="In Discussion",H59="Meeting Scheduled",H59="Engaged"),1,0)</f>
        <v>0</v>
      </c>
      <c r="R59" s="66" t="n">
        <f aca="false">IF(OR(K59="",K59&gt;Analysis!$B$3),"",Analysis!$B$3-K59)</f>
        <v>39</v>
      </c>
      <c r="S59" s="66" t="n">
        <f aca="false">IF(AND(Q59=1,L59&lt;&gt;"",L59&lt;Analysis!$B$3),1,0)</f>
        <v>0</v>
      </c>
      <c r="T59" s="66" t="n">
        <f aca="false">IF(Q59=1,IF(R59="",0,IF(R59&gt;Analysis!$B$4,1,0)),0)</f>
        <v>0</v>
      </c>
      <c r="U59" s="66" t="n">
        <f aca="false">IF(AND(Q59=1,L59=""),1,0)</f>
        <v>0</v>
      </c>
      <c r="V59" s="66" t="str">
        <f aca="false">IF(TRIM(F59)="","Missing",IF(IFERROR(FIND(".",F59,FIND("@",F59)),0)&gt;0,"Valid","Invalid"))</f>
        <v>Valid</v>
      </c>
      <c r="W59" s="66" t="str">
        <f aca="false">IF(TRIM(G59)="","Missing",IF(OR(AND(LEFT(G59,4)="+91 ",LEN(G59)=15),AND(LEFT(G59,7)="+91 11 ",LEN(G59)=16)),"Valid","Invalid"))</f>
        <v>Valid</v>
      </c>
      <c r="X59" s="66" t="n">
        <f aca="false">IF(AND(J59&lt;&gt;"",K59&lt;&gt;"",K59&lt;J59),1,0)</f>
        <v>0</v>
      </c>
      <c r="Y59" s="66" t="n">
        <f aca="false">IF(AND(K59&lt;&gt;"",K59&gt;Analysis!$B$3),1,0)</f>
        <v>0</v>
      </c>
      <c r="Z59" s="66" t="n">
        <f aca="false">IF(AND(Q59=1,ISNUMBER(SEARCH("declin",P59))),1,0)</f>
        <v>0</v>
      </c>
      <c r="AA59" s="66" t="n">
        <f aca="false">IF(Q59=1,S59*2+T59*2+U59+IF(I59="",1,0)+IF(N59="High",2,IF(N59="Medium",1,0)),0)</f>
        <v>0</v>
      </c>
      <c r="AB59" s="66" t="str">
        <f aca="false">IF(Q59=0,"",TRIM(IF(S59=1,"Follow-up overdue. ","")&amp;IF(T59=1,"No contact "&amp;Analysis!$B$4&amp;"+ days. ","")&amp;IF(U59=1,"No follow-up date. ","")&amp;IF(I59="","No owner. ","")&amp;IF(Z59=1,"Remarks conflict with status. ","")&amp;IF(X59=1,"Date error (last &lt; first). ","")&amp;IF(Y59=1,"Future-dated contact. ","")))</f>
        <v/>
      </c>
    </row>
    <row r="60" customFormat="false" ht="15" hidden="false" customHeight="false" outlineLevel="0" collapsed="false">
      <c r="A60" s="66" t="s">
        <v>555</v>
      </c>
      <c r="B60" s="66" t="s">
        <v>556</v>
      </c>
      <c r="C60" s="66" t="s">
        <v>210</v>
      </c>
      <c r="D60" s="66" t="s">
        <v>557</v>
      </c>
      <c r="E60" s="66" t="s">
        <v>259</v>
      </c>
      <c r="F60" s="66" t="s">
        <v>558</v>
      </c>
      <c r="G60" s="66"/>
      <c r="H60" s="66" t="s">
        <v>21</v>
      </c>
      <c r="I60" s="66"/>
      <c r="J60" s="67"/>
      <c r="K60" s="67"/>
      <c r="L60" s="67"/>
      <c r="M60" s="66" t="n">
        <v>0</v>
      </c>
      <c r="N60" s="66"/>
      <c r="O60" s="66"/>
      <c r="P60" s="66"/>
      <c r="Q60" s="66" t="n">
        <f aca="false">IF(OR(H60="Initial Contact",H60="In Discussion",H60="Meeting Scheduled",H60="Engaged"),1,0)</f>
        <v>0</v>
      </c>
      <c r="R60" s="66" t="str">
        <f aca="false">IF(OR(K60="",K60&gt;Analysis!$B$3),"",Analysis!$B$3-K60)</f>
        <v/>
      </c>
      <c r="S60" s="66" t="n">
        <f aca="false">IF(AND(Q60=1,L60&lt;&gt;"",L60&lt;Analysis!$B$3),1,0)</f>
        <v>0</v>
      </c>
      <c r="T60" s="66" t="n">
        <f aca="false">IF(Q60=1,IF(R60="",0,IF(R60&gt;Analysis!$B$4,1,0)),0)</f>
        <v>0</v>
      </c>
      <c r="U60" s="66" t="n">
        <f aca="false">IF(AND(Q60=1,L60=""),1,0)</f>
        <v>0</v>
      </c>
      <c r="V60" s="66" t="str">
        <f aca="false">IF(TRIM(F60)="","Missing",IF(IFERROR(FIND(".",F60,FIND("@",F60)),0)&gt;0,"Valid","Invalid"))</f>
        <v>Valid</v>
      </c>
      <c r="W60" s="66" t="str">
        <f aca="false">IF(TRIM(G60)="","Missing",IF(OR(AND(LEFT(G60,4)="+91 ",LEN(G60)=15),AND(LEFT(G60,7)="+91 11 ",LEN(G60)=16)),"Valid","Invalid"))</f>
        <v>Missing</v>
      </c>
      <c r="X60" s="66" t="n">
        <f aca="false">IF(AND(J60&lt;&gt;"",K60&lt;&gt;"",K60&lt;J60),1,0)</f>
        <v>0</v>
      </c>
      <c r="Y60" s="66" t="n">
        <f aca="false">IF(AND(K60&lt;&gt;"",K60&gt;Analysis!$B$3),1,0)</f>
        <v>0</v>
      </c>
      <c r="Z60" s="66" t="n">
        <f aca="false">IF(AND(Q60=1,ISNUMBER(SEARCH("declin",P60))),1,0)</f>
        <v>0</v>
      </c>
      <c r="AA60" s="66" t="n">
        <f aca="false">IF(Q60=1,S60*2+T60*2+U60+IF(I60="",1,0)+IF(N60="High",2,IF(N60="Medium",1,0)),0)</f>
        <v>0</v>
      </c>
      <c r="AB60" s="66" t="str">
        <f aca="false">IF(Q60=0,"",TRIM(IF(S60=1,"Follow-up overdue. ","")&amp;IF(T60=1,"No contact "&amp;Analysis!$B$4&amp;"+ days. ","")&amp;IF(U60=1,"No follow-up date. ","")&amp;IF(I60="","No owner. ","")&amp;IF(Z60=1,"Remarks conflict with status. ","")&amp;IF(X60=1,"Date error (last &lt; first). ","")&amp;IF(Y60=1,"Future-dated contact. ","")))</f>
        <v/>
      </c>
    </row>
    <row r="61" customFormat="false" ht="15" hidden="false" customHeight="false" outlineLevel="0" collapsed="false">
      <c r="A61" s="66" t="s">
        <v>559</v>
      </c>
      <c r="B61" s="66" t="s">
        <v>560</v>
      </c>
      <c r="C61" s="66" t="s">
        <v>210</v>
      </c>
      <c r="D61" s="66" t="s">
        <v>561</v>
      </c>
      <c r="E61" s="66" t="s">
        <v>278</v>
      </c>
      <c r="F61" s="66"/>
      <c r="G61" s="66" t="s">
        <v>562</v>
      </c>
      <c r="H61" s="66" t="s">
        <v>14</v>
      </c>
      <c r="I61" s="66" t="s">
        <v>221</v>
      </c>
      <c r="J61" s="67" t="n">
        <v>46131</v>
      </c>
      <c r="K61" s="67" t="n">
        <v>46225</v>
      </c>
      <c r="L61" s="67" t="n">
        <v>46245</v>
      </c>
      <c r="M61" s="66" t="n">
        <v>19</v>
      </c>
      <c r="N61" s="66"/>
      <c r="O61" s="66" t="s">
        <v>97</v>
      </c>
      <c r="P61" s="66" t="s">
        <v>505</v>
      </c>
      <c r="Q61" s="66" t="n">
        <f aca="false">IF(OR(H61="Initial Contact",H61="In Discussion",H61="Meeting Scheduled",H61="Engaged"),1,0)</f>
        <v>1</v>
      </c>
      <c r="R61" s="66" t="n">
        <f aca="false">IF(OR(K61="",K61&gt;Analysis!$B$3),"",Analysis!$B$3-K61)</f>
        <v>75</v>
      </c>
      <c r="S61" s="66" t="n">
        <f aca="false">IF(AND(Q61=1,L61&lt;&gt;"",L61&lt;Analysis!$B$3),1,0)</f>
        <v>1</v>
      </c>
      <c r="T61" s="66" t="n">
        <f aca="false">IF(Q61=1,IF(R61="",0,IF(R61&gt;Analysis!$B$4,1,0)),0)</f>
        <v>0</v>
      </c>
      <c r="U61" s="66" t="n">
        <f aca="false">IF(AND(Q61=1,L61=""),1,0)</f>
        <v>0</v>
      </c>
      <c r="V61" s="66" t="str">
        <f aca="false">IF(TRIM(F61)="","Missing",IF(IFERROR(FIND(".",F61,FIND("@",F61)),0)&gt;0,"Valid","Invalid"))</f>
        <v>Missing</v>
      </c>
      <c r="W61" s="66" t="str">
        <f aca="false">IF(TRIM(G61)="","Missing",IF(OR(AND(LEFT(G61,4)="+91 ",LEN(G61)=15),AND(LEFT(G61,7)="+91 11 ",LEN(G61)=16)),"Valid","Invalid"))</f>
        <v>Valid</v>
      </c>
      <c r="X61" s="66" t="n">
        <f aca="false">IF(AND(J61&lt;&gt;"",K61&lt;&gt;"",K61&lt;J61),1,0)</f>
        <v>0</v>
      </c>
      <c r="Y61" s="66" t="n">
        <f aca="false">IF(AND(K61&lt;&gt;"",K61&gt;Analysis!$B$3),1,0)</f>
        <v>0</v>
      </c>
      <c r="Z61" s="66" t="n">
        <f aca="false">IF(AND(Q61=1,ISNUMBER(SEARCH("declin",P61))),1,0)</f>
        <v>0</v>
      </c>
      <c r="AA61" s="66" t="n">
        <f aca="false">IF(Q61=1,S61*2+T61*2+U61+IF(I61="",1,0)+IF(N61="High",2,IF(N61="Medium",1,0)),0)</f>
        <v>2</v>
      </c>
      <c r="AB61" s="66" t="str">
        <f aca="false">IF(Q61=0,"",TRIM(IF(S61=1,"Follow-up overdue. ","")&amp;IF(T61=1,"No contact "&amp;Analysis!$B$4&amp;"+ days. ","")&amp;IF(U61=1,"No follow-up date. ","")&amp;IF(I61="","No owner. ","")&amp;IF(Z61=1,"Remarks conflict with status. ","")&amp;IF(X61=1,"Date error (last &lt; first). ","")&amp;IF(Y61=1,"Future-dated contact. ","")))</f>
        <v>Follow-up overdue.</v>
      </c>
    </row>
    <row r="62" customFormat="false" ht="15" hidden="false" customHeight="false" outlineLevel="0" collapsed="false">
      <c r="A62" s="66" t="s">
        <v>563</v>
      </c>
      <c r="B62" s="66" t="s">
        <v>564</v>
      </c>
      <c r="C62" s="66" t="s">
        <v>210</v>
      </c>
      <c r="D62" s="66" t="s">
        <v>565</v>
      </c>
      <c r="E62" s="66" t="s">
        <v>324</v>
      </c>
      <c r="F62" s="66" t="s">
        <v>566</v>
      </c>
      <c r="G62" s="66" t="s">
        <v>567</v>
      </c>
      <c r="H62" s="66" t="s">
        <v>193</v>
      </c>
      <c r="I62" s="66" t="s">
        <v>220</v>
      </c>
      <c r="J62" s="67" t="n">
        <v>45772</v>
      </c>
      <c r="K62" s="67" t="n">
        <v>46388</v>
      </c>
      <c r="L62" s="67" t="n">
        <v>46313</v>
      </c>
      <c r="M62" s="66" t="n">
        <v>3</v>
      </c>
      <c r="N62" s="66" t="s">
        <v>85</v>
      </c>
      <c r="O62" s="66" t="s">
        <v>227</v>
      </c>
      <c r="P62" s="66" t="s">
        <v>287</v>
      </c>
      <c r="Q62" s="66" t="n">
        <f aca="false">IF(OR(H62="Initial Contact",H62="In Discussion",H62="Meeting Scheduled",H62="Engaged"),1,0)</f>
        <v>1</v>
      </c>
      <c r="R62" s="66" t="str">
        <f aca="false">IF(OR(K62="",K62&gt;Analysis!$B$3),"",Analysis!$B$3-K62)</f>
        <v/>
      </c>
      <c r="S62" s="66" t="n">
        <f aca="false">IF(AND(Q62=1,L62&lt;&gt;"",L62&lt;Analysis!$B$3),1,0)</f>
        <v>0</v>
      </c>
      <c r="T62" s="66" t="n">
        <f aca="false">IF(Q62=1,IF(R62="",0,IF(R62&gt;Analysis!$B$4,1,0)),0)</f>
        <v>0</v>
      </c>
      <c r="U62" s="66" t="n">
        <f aca="false">IF(AND(Q62=1,L62=""),1,0)</f>
        <v>0</v>
      </c>
      <c r="V62" s="66" t="str">
        <f aca="false">IF(TRIM(F62)="","Missing",IF(IFERROR(FIND(".",F62,FIND("@",F62)),0)&gt;0,"Valid","Invalid"))</f>
        <v>Valid</v>
      </c>
      <c r="W62" s="66" t="str">
        <f aca="false">IF(TRIM(G62)="","Missing",IF(OR(AND(LEFT(G62,4)="+91 ",LEN(G62)=15),AND(LEFT(G62,7)="+91 11 ",LEN(G62)=16)),"Valid","Invalid"))</f>
        <v>Valid</v>
      </c>
      <c r="X62" s="66" t="n">
        <f aca="false">IF(AND(J62&lt;&gt;"",K62&lt;&gt;"",K62&lt;J62),1,0)</f>
        <v>0</v>
      </c>
      <c r="Y62" s="66" t="n">
        <f aca="false">IF(AND(K62&lt;&gt;"",K62&gt;Analysis!$B$3),1,0)</f>
        <v>1</v>
      </c>
      <c r="Z62" s="66" t="n">
        <f aca="false">IF(AND(Q62=1,ISNUMBER(SEARCH("declin",P62))),1,0)</f>
        <v>0</v>
      </c>
      <c r="AA62" s="66" t="n">
        <f aca="false">IF(Q62=1,S62*2+T62*2+U62+IF(I62="",1,0)+IF(N62="High",2,IF(N62="Medium",1,0)),0)</f>
        <v>1</v>
      </c>
      <c r="AB62" s="66" t="str">
        <f aca="false">IF(Q62=0,"",TRIM(IF(S62=1,"Follow-up overdue. ","")&amp;IF(T62=1,"No contact "&amp;Analysis!$B$4&amp;"+ days. ","")&amp;IF(U62=1,"No follow-up date. ","")&amp;IF(I62="","No owner. ","")&amp;IF(Z62=1,"Remarks conflict with status. ","")&amp;IF(X62=1,"Date error (last &lt; first). ","")&amp;IF(Y62=1,"Future-dated contact. ","")))</f>
        <v>Future-dated contact.</v>
      </c>
    </row>
    <row r="63" customFormat="false" ht="15" hidden="false" customHeight="false" outlineLevel="0" collapsed="false">
      <c r="A63" s="66" t="s">
        <v>568</v>
      </c>
      <c r="B63" s="66" t="s">
        <v>569</v>
      </c>
      <c r="C63" s="66" t="s">
        <v>210</v>
      </c>
      <c r="D63" s="66" t="s">
        <v>570</v>
      </c>
      <c r="E63" s="66" t="s">
        <v>324</v>
      </c>
      <c r="F63" s="66" t="s">
        <v>571</v>
      </c>
      <c r="G63" s="66" t="s">
        <v>572</v>
      </c>
      <c r="H63" s="66" t="s">
        <v>14</v>
      </c>
      <c r="I63" s="66" t="s">
        <v>222</v>
      </c>
      <c r="J63" s="67" t="n">
        <v>45873</v>
      </c>
      <c r="K63" s="67" t="n">
        <v>46273</v>
      </c>
      <c r="L63" s="67" t="n">
        <v>46295</v>
      </c>
      <c r="M63" s="66" t="n">
        <v>0</v>
      </c>
      <c r="N63" s="66" t="s">
        <v>64</v>
      </c>
      <c r="O63" s="66" t="s">
        <v>228</v>
      </c>
      <c r="P63" s="66" t="s">
        <v>405</v>
      </c>
      <c r="Q63" s="66" t="n">
        <f aca="false">IF(OR(H63="Initial Contact",H63="In Discussion",H63="Meeting Scheduled",H63="Engaged"),1,0)</f>
        <v>1</v>
      </c>
      <c r="R63" s="66" t="n">
        <f aca="false">IF(OR(K63="",K63&gt;Analysis!$B$3),"",Analysis!$B$3-K63)</f>
        <v>27</v>
      </c>
      <c r="S63" s="66" t="n">
        <f aca="false">IF(AND(Q63=1,L63&lt;&gt;"",L63&lt;Analysis!$B$3),1,0)</f>
        <v>1</v>
      </c>
      <c r="T63" s="66" t="n">
        <f aca="false">IF(Q63=1,IF(R63="",0,IF(R63&gt;Analysis!$B$4,1,0)),0)</f>
        <v>0</v>
      </c>
      <c r="U63" s="66" t="n">
        <f aca="false">IF(AND(Q63=1,L63=""),1,0)</f>
        <v>0</v>
      </c>
      <c r="V63" s="66" t="str">
        <f aca="false">IF(TRIM(F63)="","Missing",IF(IFERROR(FIND(".",F63,FIND("@",F63)),0)&gt;0,"Valid","Invalid"))</f>
        <v>Valid</v>
      </c>
      <c r="W63" s="66" t="str">
        <f aca="false">IF(TRIM(G63)="","Missing",IF(OR(AND(LEFT(G63,4)="+91 ",LEN(G63)=15),AND(LEFT(G63,7)="+91 11 ",LEN(G63)=16)),"Valid","Invalid"))</f>
        <v>Valid</v>
      </c>
      <c r="X63" s="66" t="n">
        <f aca="false">IF(AND(J63&lt;&gt;"",K63&lt;&gt;"",K63&lt;J63),1,0)</f>
        <v>0</v>
      </c>
      <c r="Y63" s="66" t="n">
        <f aca="false">IF(AND(K63&lt;&gt;"",K63&gt;Analysis!$B$3),1,0)</f>
        <v>0</v>
      </c>
      <c r="Z63" s="66" t="n">
        <f aca="false">IF(AND(Q63=1,ISNUMBER(SEARCH("declin",P63))),1,0)</f>
        <v>0</v>
      </c>
      <c r="AA63" s="66" t="n">
        <f aca="false">IF(Q63=1,S63*2+T63*2+U63+IF(I63="",1,0)+IF(N63="High",2,IF(N63="Medium",1,0)),0)</f>
        <v>4</v>
      </c>
      <c r="AB63" s="66" t="str">
        <f aca="false">IF(Q63=0,"",TRIM(IF(S63=1,"Follow-up overdue. ","")&amp;IF(T63=1,"No contact "&amp;Analysis!$B$4&amp;"+ days. ","")&amp;IF(U63=1,"No follow-up date. ","")&amp;IF(I63="","No owner. ","")&amp;IF(Z63=1,"Remarks conflict with status. ","")&amp;IF(X63=1,"Date error (last &lt; first). ","")&amp;IF(Y63=1,"Future-dated contact. ","")))</f>
        <v>Follow-up overdue.</v>
      </c>
    </row>
    <row r="64" customFormat="false" ht="15" hidden="false" customHeight="false" outlineLevel="0" collapsed="false">
      <c r="A64" s="66" t="s">
        <v>573</v>
      </c>
      <c r="B64" s="66" t="s">
        <v>574</v>
      </c>
      <c r="C64" s="66" t="s">
        <v>211</v>
      </c>
      <c r="D64" s="66" t="s">
        <v>575</v>
      </c>
      <c r="E64" s="66" t="s">
        <v>336</v>
      </c>
      <c r="F64" s="66" t="s">
        <v>576</v>
      </c>
      <c r="G64" s="66"/>
      <c r="H64" s="66" t="s">
        <v>194</v>
      </c>
      <c r="I64" s="66"/>
      <c r="J64" s="67" t="n">
        <v>46009</v>
      </c>
      <c r="K64" s="67" t="n">
        <v>46284</v>
      </c>
      <c r="L64" s="67" t="n">
        <v>46324</v>
      </c>
      <c r="M64" s="66" t="n">
        <v>8</v>
      </c>
      <c r="N64" s="66" t="s">
        <v>85</v>
      </c>
      <c r="O64" s="66" t="s">
        <v>229</v>
      </c>
      <c r="P64" s="66" t="s">
        <v>304</v>
      </c>
      <c r="Q64" s="66" t="n">
        <f aca="false">IF(OR(H64="Initial Contact",H64="In Discussion",H64="Meeting Scheduled",H64="Engaged"),1,0)</f>
        <v>1</v>
      </c>
      <c r="R64" s="66" t="n">
        <f aca="false">IF(OR(K64="",K64&gt;Analysis!$B$3),"",Analysis!$B$3-K64)</f>
        <v>16</v>
      </c>
      <c r="S64" s="66" t="n">
        <f aca="false">IF(AND(Q64=1,L64&lt;&gt;"",L64&lt;Analysis!$B$3),1,0)</f>
        <v>0</v>
      </c>
      <c r="T64" s="66" t="n">
        <f aca="false">IF(Q64=1,IF(R64="",0,IF(R64&gt;Analysis!$B$4,1,0)),0)</f>
        <v>0</v>
      </c>
      <c r="U64" s="66" t="n">
        <f aca="false">IF(AND(Q64=1,L64=""),1,0)</f>
        <v>0</v>
      </c>
      <c r="V64" s="66" t="str">
        <f aca="false">IF(TRIM(F64)="","Missing",IF(IFERROR(FIND(".",F64,FIND("@",F64)),0)&gt;0,"Valid","Invalid"))</f>
        <v>Invalid</v>
      </c>
      <c r="W64" s="66" t="str">
        <f aca="false">IF(TRIM(G64)="","Missing",IF(OR(AND(LEFT(G64,4)="+91 ",LEN(G64)=15),AND(LEFT(G64,7)="+91 11 ",LEN(G64)=16)),"Valid","Invalid"))</f>
        <v>Missing</v>
      </c>
      <c r="X64" s="66" t="n">
        <f aca="false">IF(AND(J64&lt;&gt;"",K64&lt;&gt;"",K64&lt;J64),1,0)</f>
        <v>0</v>
      </c>
      <c r="Y64" s="66" t="n">
        <f aca="false">IF(AND(K64&lt;&gt;"",K64&gt;Analysis!$B$3),1,0)</f>
        <v>0</v>
      </c>
      <c r="Z64" s="66" t="n">
        <f aca="false">IF(AND(Q64=1,ISNUMBER(SEARCH("declin",P64))),1,0)</f>
        <v>0</v>
      </c>
      <c r="AA64" s="66" t="n">
        <f aca="false">IF(Q64=1,S64*2+T64*2+U64+IF(I64="",1,0)+IF(N64="High",2,IF(N64="Medium",1,0)),0)</f>
        <v>2</v>
      </c>
      <c r="AB64" s="66" t="str">
        <f aca="false">IF(Q64=0,"",TRIM(IF(S64=1,"Follow-up overdue. ","")&amp;IF(T64=1,"No contact "&amp;Analysis!$B$4&amp;"+ days. ","")&amp;IF(U64=1,"No follow-up date. ","")&amp;IF(I64="","No owner. ","")&amp;IF(Z64=1,"Remarks conflict with status. ","")&amp;IF(X64=1,"Date error (last &lt; first). ","")&amp;IF(Y64=1,"Future-dated contact. ","")))</f>
        <v>No owner.</v>
      </c>
    </row>
    <row r="65" customFormat="false" ht="15" hidden="false" customHeight="false" outlineLevel="0" collapsed="false">
      <c r="A65" s="66" t="s">
        <v>577</v>
      </c>
      <c r="B65" s="66" t="s">
        <v>578</v>
      </c>
      <c r="C65" s="66" t="s">
        <v>211</v>
      </c>
      <c r="D65" s="66" t="s">
        <v>318</v>
      </c>
      <c r="E65" s="66" t="s">
        <v>308</v>
      </c>
      <c r="F65" s="66" t="s">
        <v>579</v>
      </c>
      <c r="G65" s="66" t="s">
        <v>580</v>
      </c>
      <c r="H65" s="66" t="s">
        <v>14</v>
      </c>
      <c r="I65" s="66" t="s">
        <v>221</v>
      </c>
      <c r="J65" s="67" t="n">
        <v>45687</v>
      </c>
      <c r="K65" s="67" t="n">
        <v>46212</v>
      </c>
      <c r="L65" s="67" t="n">
        <v>46271</v>
      </c>
      <c r="M65" s="66" t="n">
        <v>10</v>
      </c>
      <c r="N65" s="66" t="s">
        <v>64</v>
      </c>
      <c r="O65" s="66" t="s">
        <v>229</v>
      </c>
      <c r="P65" s="66" t="s">
        <v>405</v>
      </c>
      <c r="Q65" s="66" t="n">
        <f aca="false">IF(OR(H65="Initial Contact",H65="In Discussion",H65="Meeting Scheduled",H65="Engaged"),1,0)</f>
        <v>1</v>
      </c>
      <c r="R65" s="66" t="n">
        <f aca="false">IF(OR(K65="",K65&gt;Analysis!$B$3),"",Analysis!$B$3-K65)</f>
        <v>88</v>
      </c>
      <c r="S65" s="66" t="n">
        <f aca="false">IF(AND(Q65=1,L65&lt;&gt;"",L65&lt;Analysis!$B$3),1,0)</f>
        <v>1</v>
      </c>
      <c r="T65" s="66" t="n">
        <f aca="false">IF(Q65=1,IF(R65="",0,IF(R65&gt;Analysis!$B$4,1,0)),0)</f>
        <v>0</v>
      </c>
      <c r="U65" s="66" t="n">
        <f aca="false">IF(AND(Q65=1,L65=""),1,0)</f>
        <v>0</v>
      </c>
      <c r="V65" s="66" t="str">
        <f aca="false">IF(TRIM(F65)="","Missing",IF(IFERROR(FIND(".",F65,FIND("@",F65)),0)&gt;0,"Valid","Invalid"))</f>
        <v>Invalid</v>
      </c>
      <c r="W65" s="66" t="str">
        <f aca="false">IF(TRIM(G65)="","Missing",IF(OR(AND(LEFT(G65,4)="+91 ",LEN(G65)=15),AND(LEFT(G65,7)="+91 11 ",LEN(G65)=16)),"Valid","Invalid"))</f>
        <v>Valid</v>
      </c>
      <c r="X65" s="66" t="n">
        <f aca="false">IF(AND(J65&lt;&gt;"",K65&lt;&gt;"",K65&lt;J65),1,0)</f>
        <v>0</v>
      </c>
      <c r="Y65" s="66" t="n">
        <f aca="false">IF(AND(K65&lt;&gt;"",K65&gt;Analysis!$B$3),1,0)</f>
        <v>0</v>
      </c>
      <c r="Z65" s="66" t="n">
        <f aca="false">IF(AND(Q65=1,ISNUMBER(SEARCH("declin",P65))),1,0)</f>
        <v>0</v>
      </c>
      <c r="AA65" s="66" t="n">
        <f aca="false">IF(Q65=1,S65*2+T65*2+U65+IF(I65="",1,0)+IF(N65="High",2,IF(N65="Medium",1,0)),0)</f>
        <v>4</v>
      </c>
      <c r="AB65" s="66" t="str">
        <f aca="false">IF(Q65=0,"",TRIM(IF(S65=1,"Follow-up overdue. ","")&amp;IF(T65=1,"No contact "&amp;Analysis!$B$4&amp;"+ days. ","")&amp;IF(U65=1,"No follow-up date. ","")&amp;IF(I65="","No owner. ","")&amp;IF(Z65=1,"Remarks conflict with status. ","")&amp;IF(X65=1,"Date error (last &lt; first). ","")&amp;IF(Y65=1,"Future-dated contact. ","")))</f>
        <v>Follow-up overdue.</v>
      </c>
    </row>
    <row r="66" customFormat="false" ht="15" hidden="false" customHeight="false" outlineLevel="0" collapsed="false">
      <c r="A66" s="66" t="s">
        <v>581</v>
      </c>
      <c r="B66" s="66" t="s">
        <v>582</v>
      </c>
      <c r="C66" s="66" t="s">
        <v>211</v>
      </c>
      <c r="D66" s="66" t="s">
        <v>583</v>
      </c>
      <c r="E66" s="66" t="s">
        <v>336</v>
      </c>
      <c r="F66" s="66" t="s">
        <v>584</v>
      </c>
      <c r="G66" s="66" t="s">
        <v>585</v>
      </c>
      <c r="H66" s="66" t="s">
        <v>14</v>
      </c>
      <c r="I66" s="66" t="s">
        <v>217</v>
      </c>
      <c r="J66" s="67" t="n">
        <v>45797</v>
      </c>
      <c r="K66" s="67" t="n">
        <v>46285</v>
      </c>
      <c r="L66" s="67" t="n">
        <v>46333</v>
      </c>
      <c r="M66" s="66" t="n">
        <v>9</v>
      </c>
      <c r="N66" s="66"/>
      <c r="O66" s="66" t="s">
        <v>227</v>
      </c>
      <c r="P66" s="66" t="s">
        <v>281</v>
      </c>
      <c r="Q66" s="66" t="n">
        <f aca="false">IF(OR(H66="Initial Contact",H66="In Discussion",H66="Meeting Scheduled",H66="Engaged"),1,0)</f>
        <v>1</v>
      </c>
      <c r="R66" s="66" t="n">
        <f aca="false">IF(OR(K66="",K66&gt;Analysis!$B$3),"",Analysis!$B$3-K66)</f>
        <v>15</v>
      </c>
      <c r="S66" s="66" t="n">
        <f aca="false">IF(AND(Q66=1,L66&lt;&gt;"",L66&lt;Analysis!$B$3),1,0)</f>
        <v>0</v>
      </c>
      <c r="T66" s="66" t="n">
        <f aca="false">IF(Q66=1,IF(R66="",0,IF(R66&gt;Analysis!$B$4,1,0)),0)</f>
        <v>0</v>
      </c>
      <c r="U66" s="66" t="n">
        <f aca="false">IF(AND(Q66=1,L66=""),1,0)</f>
        <v>0</v>
      </c>
      <c r="V66" s="66" t="str">
        <f aca="false">IF(TRIM(F66)="","Missing",IF(IFERROR(FIND(".",F66,FIND("@",F66)),0)&gt;0,"Valid","Invalid"))</f>
        <v>Valid</v>
      </c>
      <c r="W66" s="66" t="str">
        <f aca="false">IF(TRIM(G66)="","Missing",IF(OR(AND(LEFT(G66,4)="+91 ",LEN(G66)=15),AND(LEFT(G66,7)="+91 11 ",LEN(G66)=16)),"Valid","Invalid"))</f>
        <v>Invalid</v>
      </c>
      <c r="X66" s="66" t="n">
        <f aca="false">IF(AND(J66&lt;&gt;"",K66&lt;&gt;"",K66&lt;J66),1,0)</f>
        <v>0</v>
      </c>
      <c r="Y66" s="66" t="n">
        <f aca="false">IF(AND(K66&lt;&gt;"",K66&gt;Analysis!$B$3),1,0)</f>
        <v>0</v>
      </c>
      <c r="Z66" s="66" t="n">
        <f aca="false">IF(AND(Q66=1,ISNUMBER(SEARCH("declin",P66))),1,0)</f>
        <v>0</v>
      </c>
      <c r="AA66" s="66" t="n">
        <f aca="false">IF(Q66=1,S66*2+T66*2+U66+IF(I66="",1,0)+IF(N66="High",2,IF(N66="Medium",1,0)),0)</f>
        <v>0</v>
      </c>
      <c r="AB66" s="66" t="str">
        <f aca="false">IF(Q66=0,"",TRIM(IF(S66=1,"Follow-up overdue. ","")&amp;IF(T66=1,"No contact "&amp;Analysis!$B$4&amp;"+ days. ","")&amp;IF(U66=1,"No follow-up date. ","")&amp;IF(I66="","No owner. ","")&amp;IF(Z66=1,"Remarks conflict with status. ","")&amp;IF(X66=1,"Date error (last &lt; first). ","")&amp;IF(Y66=1,"Future-dated contact. ","")))</f>
        <v/>
      </c>
    </row>
    <row r="67" customFormat="false" ht="15" hidden="false" customHeight="false" outlineLevel="0" collapsed="false">
      <c r="A67" s="66" t="s">
        <v>586</v>
      </c>
      <c r="B67" s="66" t="s">
        <v>587</v>
      </c>
      <c r="C67" s="66" t="s">
        <v>211</v>
      </c>
      <c r="D67" s="66" t="s">
        <v>588</v>
      </c>
      <c r="E67" s="66" t="s">
        <v>308</v>
      </c>
      <c r="F67" s="66" t="s">
        <v>589</v>
      </c>
      <c r="G67" s="66" t="s">
        <v>590</v>
      </c>
      <c r="H67" s="66" t="s">
        <v>192</v>
      </c>
      <c r="I67" s="66" t="s">
        <v>221</v>
      </c>
      <c r="J67" s="67" t="n">
        <v>45783</v>
      </c>
      <c r="K67" s="67"/>
      <c r="L67" s="67" t="n">
        <v>46340</v>
      </c>
      <c r="M67" s="66" t="n">
        <v>2</v>
      </c>
      <c r="N67" s="66" t="s">
        <v>106</v>
      </c>
      <c r="O67" s="66" t="s">
        <v>227</v>
      </c>
      <c r="P67" s="66" t="s">
        <v>350</v>
      </c>
      <c r="Q67" s="66" t="n">
        <f aca="false">IF(OR(H67="Initial Contact",H67="In Discussion",H67="Meeting Scheduled",H67="Engaged"),1,0)</f>
        <v>1</v>
      </c>
      <c r="R67" s="66" t="str">
        <f aca="false">IF(OR(K67="",K67&gt;Analysis!$B$3),"",Analysis!$B$3-K67)</f>
        <v/>
      </c>
      <c r="S67" s="66" t="n">
        <f aca="false">IF(AND(Q67=1,L67&lt;&gt;"",L67&lt;Analysis!$B$3),1,0)</f>
        <v>0</v>
      </c>
      <c r="T67" s="66" t="n">
        <f aca="false">IF(Q67=1,IF(R67="",0,IF(R67&gt;Analysis!$B$4,1,0)),0)</f>
        <v>0</v>
      </c>
      <c r="U67" s="66" t="n">
        <f aca="false">IF(AND(Q67=1,L67=""),1,0)</f>
        <v>0</v>
      </c>
      <c r="V67" s="66" t="str">
        <f aca="false">IF(TRIM(F67)="","Missing",IF(IFERROR(FIND(".",F67,FIND("@",F67)),0)&gt;0,"Valid","Invalid"))</f>
        <v>Invalid</v>
      </c>
      <c r="W67" s="66" t="str">
        <f aca="false">IF(TRIM(G67)="","Missing",IF(OR(AND(LEFT(G67,4)="+91 ",LEN(G67)=15),AND(LEFT(G67,7)="+91 11 ",LEN(G67)=16)),"Valid","Invalid"))</f>
        <v>Valid</v>
      </c>
      <c r="X67" s="66" t="n">
        <f aca="false">IF(AND(J67&lt;&gt;"",K67&lt;&gt;"",K67&lt;J67),1,0)</f>
        <v>0</v>
      </c>
      <c r="Y67" s="66" t="n">
        <f aca="false">IF(AND(K67&lt;&gt;"",K67&gt;Analysis!$B$3),1,0)</f>
        <v>0</v>
      </c>
      <c r="Z67" s="66" t="n">
        <f aca="false">IF(AND(Q67=1,ISNUMBER(SEARCH("declin",P67))),1,0)</f>
        <v>0</v>
      </c>
      <c r="AA67" s="66" t="n">
        <f aca="false">IF(Q67=1,S67*2+T67*2+U67+IF(I67="",1,0)+IF(N67="High",2,IF(N67="Medium",1,0)),0)</f>
        <v>0</v>
      </c>
      <c r="AB67" s="66" t="str">
        <f aca="false">IF(Q67=0,"",TRIM(IF(S67=1,"Follow-up overdue. ","")&amp;IF(T67=1,"No contact "&amp;Analysis!$B$4&amp;"+ days. ","")&amp;IF(U67=1,"No follow-up date. ","")&amp;IF(I67="","No owner. ","")&amp;IF(Z67=1,"Remarks conflict with status. ","")&amp;IF(X67=1,"Date error (last &lt; first). ","")&amp;IF(Y67=1,"Future-dated contact. ","")))</f>
        <v/>
      </c>
    </row>
    <row r="68" customFormat="false" ht="15" hidden="false" customHeight="false" outlineLevel="0" collapsed="false">
      <c r="A68" s="66" t="s">
        <v>591</v>
      </c>
      <c r="B68" s="66" t="s">
        <v>592</v>
      </c>
      <c r="C68" s="66" t="s">
        <v>211</v>
      </c>
      <c r="D68" s="66" t="s">
        <v>593</v>
      </c>
      <c r="E68" s="66" t="s">
        <v>348</v>
      </c>
      <c r="F68" s="66" t="s">
        <v>594</v>
      </c>
      <c r="G68" s="66" t="s">
        <v>595</v>
      </c>
      <c r="H68" s="66" t="s">
        <v>194</v>
      </c>
      <c r="I68" s="66"/>
      <c r="J68" s="67" t="n">
        <v>45794</v>
      </c>
      <c r="K68" s="67" t="n">
        <v>46277</v>
      </c>
      <c r="L68" s="67" t="n">
        <v>46294</v>
      </c>
      <c r="M68" s="66" t="n">
        <v>9</v>
      </c>
      <c r="N68" s="66" t="s">
        <v>85</v>
      </c>
      <c r="O68" s="66" t="s">
        <v>97</v>
      </c>
      <c r="P68" s="66" t="s">
        <v>327</v>
      </c>
      <c r="Q68" s="66" t="n">
        <f aca="false">IF(OR(H68="Initial Contact",H68="In Discussion",H68="Meeting Scheduled",H68="Engaged"),1,0)</f>
        <v>1</v>
      </c>
      <c r="R68" s="66" t="n">
        <f aca="false">IF(OR(K68="",K68&gt;Analysis!$B$3),"",Analysis!$B$3-K68)</f>
        <v>23</v>
      </c>
      <c r="S68" s="66" t="n">
        <f aca="false">IF(AND(Q68=1,L68&lt;&gt;"",L68&lt;Analysis!$B$3),1,0)</f>
        <v>1</v>
      </c>
      <c r="T68" s="66" t="n">
        <f aca="false">IF(Q68=1,IF(R68="",0,IF(R68&gt;Analysis!$B$4,1,0)),0)</f>
        <v>0</v>
      </c>
      <c r="U68" s="66" t="n">
        <f aca="false">IF(AND(Q68=1,L68=""),1,0)</f>
        <v>0</v>
      </c>
      <c r="V68" s="66" t="str">
        <f aca="false">IF(TRIM(F68)="","Missing",IF(IFERROR(FIND(".",F68,FIND("@",F68)),0)&gt;0,"Valid","Invalid"))</f>
        <v>Invalid</v>
      </c>
      <c r="W68" s="66" t="str">
        <f aca="false">IF(TRIM(G68)="","Missing",IF(OR(AND(LEFT(G68,4)="+91 ",LEN(G68)=15),AND(LEFT(G68,7)="+91 11 ",LEN(G68)=16)),"Valid","Invalid"))</f>
        <v>Valid</v>
      </c>
      <c r="X68" s="66" t="n">
        <f aca="false">IF(AND(J68&lt;&gt;"",K68&lt;&gt;"",K68&lt;J68),1,0)</f>
        <v>0</v>
      </c>
      <c r="Y68" s="66" t="n">
        <f aca="false">IF(AND(K68&lt;&gt;"",K68&gt;Analysis!$B$3),1,0)</f>
        <v>0</v>
      </c>
      <c r="Z68" s="66" t="n">
        <f aca="false">IF(AND(Q68=1,ISNUMBER(SEARCH("declin",P68))),1,0)</f>
        <v>0</v>
      </c>
      <c r="AA68" s="66" t="n">
        <f aca="false">IF(Q68=1,S68*2+T68*2+U68+IF(I68="",1,0)+IF(N68="High",2,IF(N68="Medium",1,0)),0)</f>
        <v>4</v>
      </c>
      <c r="AB68" s="66" t="str">
        <f aca="false">IF(Q68=0,"",TRIM(IF(S68=1,"Follow-up overdue. ","")&amp;IF(T68=1,"No contact "&amp;Analysis!$B$4&amp;"+ days. ","")&amp;IF(U68=1,"No follow-up date. ","")&amp;IF(I68="","No owner. ","")&amp;IF(Z68=1,"Remarks conflict with status. ","")&amp;IF(X68=1,"Date error (last &lt; first). ","")&amp;IF(Y68=1,"Future-dated contact. ","")))</f>
        <v>Follow-up overdue. No owner.</v>
      </c>
    </row>
    <row r="69" customFormat="false" ht="15" hidden="false" customHeight="false" outlineLevel="0" collapsed="false">
      <c r="A69" s="66" t="s">
        <v>596</v>
      </c>
      <c r="B69" s="66" t="s">
        <v>597</v>
      </c>
      <c r="C69" s="66" t="s">
        <v>211</v>
      </c>
      <c r="D69" s="66" t="s">
        <v>598</v>
      </c>
      <c r="E69" s="66" t="s">
        <v>259</v>
      </c>
      <c r="F69" s="66" t="s">
        <v>599</v>
      </c>
      <c r="G69" s="66" t="s">
        <v>600</v>
      </c>
      <c r="H69" s="66" t="s">
        <v>192</v>
      </c>
      <c r="I69" s="66" t="s">
        <v>217</v>
      </c>
      <c r="J69" s="67" t="n">
        <v>45931</v>
      </c>
      <c r="K69" s="67" t="n">
        <v>46287</v>
      </c>
      <c r="L69" s="67" t="n">
        <v>46305</v>
      </c>
      <c r="M69" s="66"/>
      <c r="N69" s="66" t="s">
        <v>106</v>
      </c>
      <c r="O69" s="66" t="s">
        <v>97</v>
      </c>
      <c r="P69" s="66" t="s">
        <v>268</v>
      </c>
      <c r="Q69" s="66" t="n">
        <f aca="false">IF(OR(H69="Initial Contact",H69="In Discussion",H69="Meeting Scheduled",H69="Engaged"),1,0)</f>
        <v>1</v>
      </c>
      <c r="R69" s="66" t="n">
        <f aca="false">IF(OR(K69="",K69&gt;Analysis!$B$3),"",Analysis!$B$3-K69)</f>
        <v>13</v>
      </c>
      <c r="S69" s="66" t="n">
        <f aca="false">IF(AND(Q69=1,L69&lt;&gt;"",L69&lt;Analysis!$B$3),1,0)</f>
        <v>0</v>
      </c>
      <c r="T69" s="66" t="n">
        <f aca="false">IF(Q69=1,IF(R69="",0,IF(R69&gt;Analysis!$B$4,1,0)),0)</f>
        <v>0</v>
      </c>
      <c r="U69" s="66" t="n">
        <f aca="false">IF(AND(Q69=1,L69=""),1,0)</f>
        <v>0</v>
      </c>
      <c r="V69" s="66" t="str">
        <f aca="false">IF(TRIM(F69)="","Missing",IF(IFERROR(FIND(".",F69,FIND("@",F69)),0)&gt;0,"Valid","Invalid"))</f>
        <v>Valid</v>
      </c>
      <c r="W69" s="66" t="str">
        <f aca="false">IF(TRIM(G69)="","Missing",IF(OR(AND(LEFT(G69,4)="+91 ",LEN(G69)=15),AND(LEFT(G69,7)="+91 11 ",LEN(G69)=16)),"Valid","Invalid"))</f>
        <v>Valid</v>
      </c>
      <c r="X69" s="66" t="n">
        <f aca="false">IF(AND(J69&lt;&gt;"",K69&lt;&gt;"",K69&lt;J69),1,0)</f>
        <v>0</v>
      </c>
      <c r="Y69" s="66" t="n">
        <f aca="false">IF(AND(K69&lt;&gt;"",K69&gt;Analysis!$B$3),1,0)</f>
        <v>0</v>
      </c>
      <c r="Z69" s="66" t="n">
        <f aca="false">IF(AND(Q69=1,ISNUMBER(SEARCH("declin",P69))),1,0)</f>
        <v>0</v>
      </c>
      <c r="AA69" s="66" t="n">
        <f aca="false">IF(Q69=1,S69*2+T69*2+U69+IF(I69="",1,0)+IF(N69="High",2,IF(N69="Medium",1,0)),0)</f>
        <v>0</v>
      </c>
      <c r="AB69" s="66" t="str">
        <f aca="false">IF(Q69=0,"",TRIM(IF(S69=1,"Follow-up overdue. ","")&amp;IF(T69=1,"No contact "&amp;Analysis!$B$4&amp;"+ days. ","")&amp;IF(U69=1,"No follow-up date. ","")&amp;IF(I69="","No owner. ","")&amp;IF(Z69=1,"Remarks conflict with status. ","")&amp;IF(X69=1,"Date error (last &lt; first). ","")&amp;IF(Y69=1,"Future-dated contact. ","")))</f>
        <v/>
      </c>
    </row>
    <row r="70" customFormat="false" ht="15" hidden="false" customHeight="false" outlineLevel="0" collapsed="false">
      <c r="A70" s="66" t="s">
        <v>601</v>
      </c>
      <c r="B70" s="66" t="s">
        <v>602</v>
      </c>
      <c r="C70" s="66" t="s">
        <v>211</v>
      </c>
      <c r="D70" s="66" t="s">
        <v>603</v>
      </c>
      <c r="E70" s="66" t="s">
        <v>278</v>
      </c>
      <c r="F70" s="66"/>
      <c r="G70" s="66" t="s">
        <v>604</v>
      </c>
      <c r="H70" s="66" t="s">
        <v>196</v>
      </c>
      <c r="I70" s="66" t="s">
        <v>217</v>
      </c>
      <c r="J70" s="67" t="n">
        <v>45808</v>
      </c>
      <c r="K70" s="67" t="n">
        <v>46079</v>
      </c>
      <c r="L70" s="67"/>
      <c r="M70" s="66" t="n">
        <v>3</v>
      </c>
      <c r="N70" s="66" t="s">
        <v>106</v>
      </c>
      <c r="O70" s="66" t="s">
        <v>97</v>
      </c>
      <c r="P70" s="66" t="s">
        <v>490</v>
      </c>
      <c r="Q70" s="66" t="n">
        <f aca="false">IF(OR(H70="Initial Contact",H70="In Discussion",H70="Meeting Scheduled",H70="Engaged"),1,0)</f>
        <v>0</v>
      </c>
      <c r="R70" s="66" t="n">
        <f aca="false">IF(OR(K70="",K70&gt;Analysis!$B$3),"",Analysis!$B$3-K70)</f>
        <v>221</v>
      </c>
      <c r="S70" s="66" t="n">
        <f aca="false">IF(AND(Q70=1,L70&lt;&gt;"",L70&lt;Analysis!$B$3),1,0)</f>
        <v>0</v>
      </c>
      <c r="T70" s="66" t="n">
        <f aca="false">IF(Q70=1,IF(R70="",0,IF(R70&gt;Analysis!$B$4,1,0)),0)</f>
        <v>0</v>
      </c>
      <c r="U70" s="66" t="n">
        <f aca="false">IF(AND(Q70=1,L70=""),1,0)</f>
        <v>0</v>
      </c>
      <c r="V70" s="66" t="str">
        <f aca="false">IF(TRIM(F70)="","Missing",IF(IFERROR(FIND(".",F70,FIND("@",F70)),0)&gt;0,"Valid","Invalid"))</f>
        <v>Missing</v>
      </c>
      <c r="W70" s="66" t="str">
        <f aca="false">IF(TRIM(G70)="","Missing",IF(OR(AND(LEFT(G70,4)="+91 ",LEN(G70)=15),AND(LEFT(G70,7)="+91 11 ",LEN(G70)=16)),"Valid","Invalid"))</f>
        <v>Valid</v>
      </c>
      <c r="X70" s="66" t="n">
        <f aca="false">IF(AND(J70&lt;&gt;"",K70&lt;&gt;"",K70&lt;J70),1,0)</f>
        <v>0</v>
      </c>
      <c r="Y70" s="66" t="n">
        <f aca="false">IF(AND(K70&lt;&gt;"",K70&gt;Analysis!$B$3),1,0)</f>
        <v>0</v>
      </c>
      <c r="Z70" s="66" t="n">
        <f aca="false">IF(AND(Q70=1,ISNUMBER(SEARCH("declin",P70))),1,0)</f>
        <v>0</v>
      </c>
      <c r="AA70" s="66" t="n">
        <f aca="false">IF(Q70=1,S70*2+T70*2+U70+IF(I70="",1,0)+IF(N70="High",2,IF(N70="Medium",1,0)),0)</f>
        <v>0</v>
      </c>
      <c r="AB70" s="66" t="str">
        <f aca="false">IF(Q70=0,"",TRIM(IF(S70=1,"Follow-up overdue. ","")&amp;IF(T70=1,"No contact "&amp;Analysis!$B$4&amp;"+ days. ","")&amp;IF(U70=1,"No follow-up date. ","")&amp;IF(I70="","No owner. ","")&amp;IF(Z70=1,"Remarks conflict with status. ","")&amp;IF(X70=1,"Date error (last &lt; first). ","")&amp;IF(Y70=1,"Future-dated contact. ","")))</f>
        <v/>
      </c>
    </row>
    <row r="71" customFormat="false" ht="15" hidden="false" customHeight="false" outlineLevel="0" collapsed="false">
      <c r="A71" s="66" t="s">
        <v>42</v>
      </c>
      <c r="B71" s="66" t="s">
        <v>605</v>
      </c>
      <c r="C71" s="66" t="s">
        <v>211</v>
      </c>
      <c r="D71" s="66" t="s">
        <v>606</v>
      </c>
      <c r="E71" s="66" t="s">
        <v>265</v>
      </c>
      <c r="F71" s="66" t="s">
        <v>607</v>
      </c>
      <c r="G71" s="66" t="s">
        <v>608</v>
      </c>
      <c r="H71" s="66" t="s">
        <v>192</v>
      </c>
      <c r="I71" s="66" t="s">
        <v>219</v>
      </c>
      <c r="J71" s="67" t="n">
        <v>45965</v>
      </c>
      <c r="K71" s="67" t="n">
        <v>46076</v>
      </c>
      <c r="L71" s="67" t="n">
        <v>46134</v>
      </c>
      <c r="M71" s="66" t="n">
        <v>-3</v>
      </c>
      <c r="N71" s="66" t="s">
        <v>106</v>
      </c>
      <c r="O71" s="66" t="s">
        <v>227</v>
      </c>
      <c r="P71" s="66" t="s">
        <v>315</v>
      </c>
      <c r="Q71" s="66" t="n">
        <f aca="false">IF(OR(H71="Initial Contact",H71="In Discussion",H71="Meeting Scheduled",H71="Engaged"),1,0)</f>
        <v>1</v>
      </c>
      <c r="R71" s="66" t="n">
        <f aca="false">IF(OR(K71="",K71&gt;Analysis!$B$3),"",Analysis!$B$3-K71)</f>
        <v>224</v>
      </c>
      <c r="S71" s="66" t="n">
        <f aca="false">IF(AND(Q71=1,L71&lt;&gt;"",L71&lt;Analysis!$B$3),1,0)</f>
        <v>1</v>
      </c>
      <c r="T71" s="66" t="n">
        <f aca="false">IF(Q71=1,IF(R71="",0,IF(R71&gt;Analysis!$B$4,1,0)),0)</f>
        <v>1</v>
      </c>
      <c r="U71" s="66" t="n">
        <f aca="false">IF(AND(Q71=1,L71=""),1,0)</f>
        <v>0</v>
      </c>
      <c r="V71" s="66" t="str">
        <f aca="false">IF(TRIM(F71)="","Missing",IF(IFERROR(FIND(".",F71,FIND("@",F71)),0)&gt;0,"Valid","Invalid"))</f>
        <v>Valid</v>
      </c>
      <c r="W71" s="66" t="str">
        <f aca="false">IF(TRIM(G71)="","Missing",IF(OR(AND(LEFT(G71,4)="+91 ",LEN(G71)=15),AND(LEFT(G71,7)="+91 11 ",LEN(G71)=16)),"Valid","Invalid"))</f>
        <v>Valid</v>
      </c>
      <c r="X71" s="66" t="n">
        <f aca="false">IF(AND(J71&lt;&gt;"",K71&lt;&gt;"",K71&lt;J71),1,0)</f>
        <v>0</v>
      </c>
      <c r="Y71" s="66" t="n">
        <f aca="false">IF(AND(K71&lt;&gt;"",K71&gt;Analysis!$B$3),1,0)</f>
        <v>0</v>
      </c>
      <c r="Z71" s="66" t="n">
        <f aca="false">IF(AND(Q71=1,ISNUMBER(SEARCH("declin",P71))),1,0)</f>
        <v>0</v>
      </c>
      <c r="AA71" s="66" t="n">
        <f aca="false">IF(Q71=1,S71*2+T71*2+U71+IF(I71="",1,0)+IF(N71="High",2,IF(N71="Medium",1,0)),0)</f>
        <v>4</v>
      </c>
      <c r="AB71" s="66" t="str">
        <f aca="false">IF(Q71=0,"",TRIM(IF(S71=1,"Follow-up overdue. ","")&amp;IF(T71=1,"No contact "&amp;Analysis!$B$4&amp;"+ days. ","")&amp;IF(U71=1,"No follow-up date. ","")&amp;IF(I71="","No owner. ","")&amp;IF(Z71=1,"Remarks conflict with status. ","")&amp;IF(X71=1,"Date error (last &lt; first). ","")&amp;IF(Y71=1,"Future-dated contact. ","")))</f>
        <v>Follow-up overdue. No contact 90+ days.</v>
      </c>
    </row>
    <row r="72" customFormat="false" ht="15" hidden="false" customHeight="false" outlineLevel="0" collapsed="false">
      <c r="A72" s="66" t="s">
        <v>609</v>
      </c>
      <c r="B72" s="66" t="s">
        <v>610</v>
      </c>
      <c r="C72" s="66" t="s">
        <v>211</v>
      </c>
      <c r="D72" s="66" t="s">
        <v>588</v>
      </c>
      <c r="E72" s="66" t="s">
        <v>348</v>
      </c>
      <c r="F72" s="66" t="s">
        <v>611</v>
      </c>
      <c r="G72" s="66" t="s">
        <v>612</v>
      </c>
      <c r="H72" s="66" t="s">
        <v>194</v>
      </c>
      <c r="I72" s="66" t="s">
        <v>221</v>
      </c>
      <c r="J72" s="67" t="n">
        <v>46072</v>
      </c>
      <c r="K72" s="67" t="n">
        <v>46227</v>
      </c>
      <c r="L72" s="67" t="n">
        <v>46264</v>
      </c>
      <c r="M72" s="66" t="n">
        <v>6</v>
      </c>
      <c r="N72" s="66" t="s">
        <v>85</v>
      </c>
      <c r="O72" s="66" t="s">
        <v>97</v>
      </c>
      <c r="P72" s="66" t="s">
        <v>304</v>
      </c>
      <c r="Q72" s="66" t="n">
        <f aca="false">IF(OR(H72="Initial Contact",H72="In Discussion",H72="Meeting Scheduled",H72="Engaged"),1,0)</f>
        <v>1</v>
      </c>
      <c r="R72" s="66" t="n">
        <f aca="false">IF(OR(K72="",K72&gt;Analysis!$B$3),"",Analysis!$B$3-K72)</f>
        <v>73</v>
      </c>
      <c r="S72" s="66" t="n">
        <f aca="false">IF(AND(Q72=1,L72&lt;&gt;"",L72&lt;Analysis!$B$3),1,0)</f>
        <v>1</v>
      </c>
      <c r="T72" s="66" t="n">
        <f aca="false">IF(Q72=1,IF(R72="",0,IF(R72&gt;Analysis!$B$4,1,0)),0)</f>
        <v>0</v>
      </c>
      <c r="U72" s="66" t="n">
        <f aca="false">IF(AND(Q72=1,L72=""),1,0)</f>
        <v>0</v>
      </c>
      <c r="V72" s="66" t="str">
        <f aca="false">IF(TRIM(F72)="","Missing",IF(IFERROR(FIND(".",F72,FIND("@",F72)),0)&gt;0,"Valid","Invalid"))</f>
        <v>Valid</v>
      </c>
      <c r="W72" s="66" t="str">
        <f aca="false">IF(TRIM(G72)="","Missing",IF(OR(AND(LEFT(G72,4)="+91 ",LEN(G72)=15),AND(LEFT(G72,7)="+91 11 ",LEN(G72)=16)),"Valid","Invalid"))</f>
        <v>Valid</v>
      </c>
      <c r="X72" s="66" t="n">
        <f aca="false">IF(AND(J72&lt;&gt;"",K72&lt;&gt;"",K72&lt;J72),1,0)</f>
        <v>0</v>
      </c>
      <c r="Y72" s="66" t="n">
        <f aca="false">IF(AND(K72&lt;&gt;"",K72&gt;Analysis!$B$3),1,0)</f>
        <v>0</v>
      </c>
      <c r="Z72" s="66" t="n">
        <f aca="false">IF(AND(Q72=1,ISNUMBER(SEARCH("declin",P72))),1,0)</f>
        <v>0</v>
      </c>
      <c r="AA72" s="66" t="n">
        <f aca="false">IF(Q72=1,S72*2+T72*2+U72+IF(I72="",1,0)+IF(N72="High",2,IF(N72="Medium",1,0)),0)</f>
        <v>3</v>
      </c>
      <c r="AB72" s="66" t="str">
        <f aca="false">IF(Q72=0,"",TRIM(IF(S72=1,"Follow-up overdue. ","")&amp;IF(T72=1,"No contact "&amp;Analysis!$B$4&amp;"+ days. ","")&amp;IF(U72=1,"No follow-up date. ","")&amp;IF(I72="","No owner. ","")&amp;IF(Z72=1,"Remarks conflict with status. ","")&amp;IF(X72=1,"Date error (last &lt; first). ","")&amp;IF(Y72=1,"Future-dated contact. ","")))</f>
        <v>Follow-up overdue.</v>
      </c>
    </row>
    <row r="73" customFormat="false" ht="15" hidden="false" customHeight="false" outlineLevel="0" collapsed="false">
      <c r="A73" s="66" t="s">
        <v>613</v>
      </c>
      <c r="B73" s="66" t="s">
        <v>614</v>
      </c>
      <c r="C73" s="66" t="s">
        <v>211</v>
      </c>
      <c r="D73" s="66" t="s">
        <v>615</v>
      </c>
      <c r="E73" s="66" t="s">
        <v>324</v>
      </c>
      <c r="F73" s="66" t="s">
        <v>616</v>
      </c>
      <c r="G73" s="66" t="s">
        <v>617</v>
      </c>
      <c r="H73" s="66" t="s">
        <v>192</v>
      </c>
      <c r="I73" s="66" t="s">
        <v>221</v>
      </c>
      <c r="J73" s="67" t="n">
        <v>45960</v>
      </c>
      <c r="K73" s="67" t="n">
        <v>46287</v>
      </c>
      <c r="L73" s="67" t="n">
        <v>46339</v>
      </c>
      <c r="M73" s="66" t="n">
        <v>2</v>
      </c>
      <c r="N73" s="66" t="s">
        <v>106</v>
      </c>
      <c r="O73" s="66" t="s">
        <v>228</v>
      </c>
      <c r="P73" s="66" t="s">
        <v>350</v>
      </c>
      <c r="Q73" s="66" t="n">
        <f aca="false">IF(OR(H73="Initial Contact",H73="In Discussion",H73="Meeting Scheduled",H73="Engaged"),1,0)</f>
        <v>1</v>
      </c>
      <c r="R73" s="66" t="n">
        <f aca="false">IF(OR(K73="",K73&gt;Analysis!$B$3),"",Analysis!$B$3-K73)</f>
        <v>13</v>
      </c>
      <c r="S73" s="66" t="n">
        <f aca="false">IF(AND(Q73=1,L73&lt;&gt;"",L73&lt;Analysis!$B$3),1,0)</f>
        <v>0</v>
      </c>
      <c r="T73" s="66" t="n">
        <f aca="false">IF(Q73=1,IF(R73="",0,IF(R73&gt;Analysis!$B$4,1,0)),0)</f>
        <v>0</v>
      </c>
      <c r="U73" s="66" t="n">
        <f aca="false">IF(AND(Q73=1,L73=""),1,0)</f>
        <v>0</v>
      </c>
      <c r="V73" s="66" t="str">
        <f aca="false">IF(TRIM(F73)="","Missing",IF(IFERROR(FIND(".",F73,FIND("@",F73)),0)&gt;0,"Valid","Invalid"))</f>
        <v>Valid</v>
      </c>
      <c r="W73" s="66" t="str">
        <f aca="false">IF(TRIM(G73)="","Missing",IF(OR(AND(LEFT(G73,4)="+91 ",LEN(G73)=15),AND(LEFT(G73,7)="+91 11 ",LEN(G73)=16)),"Valid","Invalid"))</f>
        <v>Valid</v>
      </c>
      <c r="X73" s="66" t="n">
        <f aca="false">IF(AND(J73&lt;&gt;"",K73&lt;&gt;"",K73&lt;J73),1,0)</f>
        <v>0</v>
      </c>
      <c r="Y73" s="66" t="n">
        <f aca="false">IF(AND(K73&lt;&gt;"",K73&gt;Analysis!$B$3),1,0)</f>
        <v>0</v>
      </c>
      <c r="Z73" s="66" t="n">
        <f aca="false">IF(AND(Q73=1,ISNUMBER(SEARCH("declin",P73))),1,0)</f>
        <v>0</v>
      </c>
      <c r="AA73" s="66" t="n">
        <f aca="false">IF(Q73=1,S73*2+T73*2+U73+IF(I73="",1,0)+IF(N73="High",2,IF(N73="Medium",1,0)),0)</f>
        <v>0</v>
      </c>
      <c r="AB73" s="66" t="str">
        <f aca="false">IF(Q73=0,"",TRIM(IF(S73=1,"Follow-up overdue. ","")&amp;IF(T73=1,"No contact "&amp;Analysis!$B$4&amp;"+ days. ","")&amp;IF(U73=1,"No follow-up date. ","")&amp;IF(I73="","No owner. ","")&amp;IF(Z73=1,"Remarks conflict with status. ","")&amp;IF(X73=1,"Date error (last &lt; first). ","")&amp;IF(Y73=1,"Future-dated contact. ","")))</f>
        <v/>
      </c>
    </row>
    <row r="74" customFormat="false" ht="15" hidden="false" customHeight="false" outlineLevel="0" collapsed="false">
      <c r="A74" s="66" t="s">
        <v>618</v>
      </c>
      <c r="B74" s="66" t="s">
        <v>619</v>
      </c>
      <c r="C74" s="66" t="s">
        <v>211</v>
      </c>
      <c r="D74" s="66" t="s">
        <v>620</v>
      </c>
      <c r="E74" s="66" t="s">
        <v>278</v>
      </c>
      <c r="F74" s="66" t="s">
        <v>621</v>
      </c>
      <c r="G74" s="66" t="s">
        <v>622</v>
      </c>
      <c r="H74" s="66" t="s">
        <v>193</v>
      </c>
      <c r="I74" s="66" t="s">
        <v>217</v>
      </c>
      <c r="J74" s="67" t="n">
        <v>46208</v>
      </c>
      <c r="K74" s="67" t="n">
        <v>46278</v>
      </c>
      <c r="L74" s="67" t="n">
        <v>46307</v>
      </c>
      <c r="M74" s="66" t="n">
        <v>4</v>
      </c>
      <c r="N74" s="66" t="s">
        <v>85</v>
      </c>
      <c r="O74" s="66" t="s">
        <v>227</v>
      </c>
      <c r="P74" s="66" t="s">
        <v>287</v>
      </c>
      <c r="Q74" s="66" t="n">
        <f aca="false">IF(OR(H74="Initial Contact",H74="In Discussion",H74="Meeting Scheduled",H74="Engaged"),1,0)</f>
        <v>1</v>
      </c>
      <c r="R74" s="66" t="n">
        <f aca="false">IF(OR(K74="",K74&gt;Analysis!$B$3),"",Analysis!$B$3-K74)</f>
        <v>22</v>
      </c>
      <c r="S74" s="66" t="n">
        <f aca="false">IF(AND(Q74=1,L74&lt;&gt;"",L74&lt;Analysis!$B$3),1,0)</f>
        <v>0</v>
      </c>
      <c r="T74" s="66" t="n">
        <f aca="false">IF(Q74=1,IF(R74="",0,IF(R74&gt;Analysis!$B$4,1,0)),0)</f>
        <v>0</v>
      </c>
      <c r="U74" s="66" t="n">
        <f aca="false">IF(AND(Q74=1,L74=""),1,0)</f>
        <v>0</v>
      </c>
      <c r="V74" s="66" t="str">
        <f aca="false">IF(TRIM(F74)="","Missing",IF(IFERROR(FIND(".",F74,FIND("@",F74)),0)&gt;0,"Valid","Invalid"))</f>
        <v>Valid</v>
      </c>
      <c r="W74" s="66" t="str">
        <f aca="false">IF(TRIM(G74)="","Missing",IF(OR(AND(LEFT(G74,4)="+91 ",LEN(G74)=15),AND(LEFT(G74,7)="+91 11 ",LEN(G74)=16)),"Valid","Invalid"))</f>
        <v>Valid</v>
      </c>
      <c r="X74" s="66" t="n">
        <f aca="false">IF(AND(J74&lt;&gt;"",K74&lt;&gt;"",K74&lt;J74),1,0)</f>
        <v>0</v>
      </c>
      <c r="Y74" s="66" t="n">
        <f aca="false">IF(AND(K74&lt;&gt;"",K74&gt;Analysis!$B$3),1,0)</f>
        <v>0</v>
      </c>
      <c r="Z74" s="66" t="n">
        <f aca="false">IF(AND(Q74=1,ISNUMBER(SEARCH("declin",P74))),1,0)</f>
        <v>0</v>
      </c>
      <c r="AA74" s="66" t="n">
        <f aca="false">IF(Q74=1,S74*2+T74*2+U74+IF(I74="",1,0)+IF(N74="High",2,IF(N74="Medium",1,0)),0)</f>
        <v>1</v>
      </c>
      <c r="AB74" s="66" t="str">
        <f aca="false">IF(Q74=0,"",TRIM(IF(S74=1,"Follow-up overdue. ","")&amp;IF(T74=1,"No contact "&amp;Analysis!$B$4&amp;"+ days. ","")&amp;IF(U74=1,"No follow-up date. ","")&amp;IF(I74="","No owner. ","")&amp;IF(Z74=1,"Remarks conflict with status. ","")&amp;IF(X74=1,"Date error (last &lt; first). ","")&amp;IF(Y74=1,"Future-dated contact. ","")))</f>
        <v/>
      </c>
    </row>
    <row r="75" customFormat="false" ht="15" hidden="false" customHeight="false" outlineLevel="0" collapsed="false">
      <c r="A75" s="66" t="s">
        <v>623</v>
      </c>
      <c r="B75" s="66" t="s">
        <v>624</v>
      </c>
      <c r="C75" s="66" t="s">
        <v>211</v>
      </c>
      <c r="D75" s="66" t="s">
        <v>301</v>
      </c>
      <c r="E75" s="66" t="s">
        <v>348</v>
      </c>
      <c r="F75" s="66" t="s">
        <v>625</v>
      </c>
      <c r="G75" s="66"/>
      <c r="H75" s="66" t="s">
        <v>21</v>
      </c>
      <c r="I75" s="66" t="s">
        <v>217</v>
      </c>
      <c r="J75" s="67"/>
      <c r="K75" s="67" t="n">
        <v>46210</v>
      </c>
      <c r="L75" s="67"/>
      <c r="M75" s="66" t="n">
        <v>3</v>
      </c>
      <c r="N75" s="66"/>
      <c r="O75" s="66"/>
      <c r="P75" s="66" t="s">
        <v>262</v>
      </c>
      <c r="Q75" s="66" t="n">
        <f aca="false">IF(OR(H75="Initial Contact",H75="In Discussion",H75="Meeting Scheduled",H75="Engaged"),1,0)</f>
        <v>0</v>
      </c>
      <c r="R75" s="66" t="n">
        <f aca="false">IF(OR(K75="",K75&gt;Analysis!$B$3),"",Analysis!$B$3-K75)</f>
        <v>90</v>
      </c>
      <c r="S75" s="66" t="n">
        <f aca="false">IF(AND(Q75=1,L75&lt;&gt;"",L75&lt;Analysis!$B$3),1,0)</f>
        <v>0</v>
      </c>
      <c r="T75" s="66" t="n">
        <f aca="false">IF(Q75=1,IF(R75="",0,IF(R75&gt;Analysis!$B$4,1,0)),0)</f>
        <v>0</v>
      </c>
      <c r="U75" s="66" t="n">
        <f aca="false">IF(AND(Q75=1,L75=""),1,0)</f>
        <v>0</v>
      </c>
      <c r="V75" s="66" t="str">
        <f aca="false">IF(TRIM(F75)="","Missing",IF(IFERROR(FIND(".",F75,FIND("@",F75)),0)&gt;0,"Valid","Invalid"))</f>
        <v>Valid</v>
      </c>
      <c r="W75" s="66" t="str">
        <f aca="false">IF(TRIM(G75)="","Missing",IF(OR(AND(LEFT(G75,4)="+91 ",LEN(G75)=15),AND(LEFT(G75,7)="+91 11 ",LEN(G75)=16)),"Valid","Invalid"))</f>
        <v>Missing</v>
      </c>
      <c r="X75" s="66" t="n">
        <f aca="false">IF(AND(J75&lt;&gt;"",K75&lt;&gt;"",K75&lt;J75),1,0)</f>
        <v>0</v>
      </c>
      <c r="Y75" s="66" t="n">
        <f aca="false">IF(AND(K75&lt;&gt;"",K75&gt;Analysis!$B$3),1,0)</f>
        <v>0</v>
      </c>
      <c r="Z75" s="66" t="n">
        <f aca="false">IF(AND(Q75=1,ISNUMBER(SEARCH("declin",P75))),1,0)</f>
        <v>0</v>
      </c>
      <c r="AA75" s="66" t="n">
        <f aca="false">IF(Q75=1,S75*2+T75*2+U75+IF(I75="",1,0)+IF(N75="High",2,IF(N75="Medium",1,0)),0)</f>
        <v>0</v>
      </c>
      <c r="AB75" s="66" t="str">
        <f aca="false">IF(Q75=0,"",TRIM(IF(S75=1,"Follow-up overdue. ","")&amp;IF(T75=1,"No contact "&amp;Analysis!$B$4&amp;"+ days. ","")&amp;IF(U75=1,"No follow-up date. ","")&amp;IF(I75="","No owner. ","")&amp;IF(Z75=1,"Remarks conflict with status. ","")&amp;IF(X75=1,"Date error (last &lt; first). ","")&amp;IF(Y75=1,"Future-dated contact. ","")))</f>
        <v/>
      </c>
    </row>
    <row r="76" customFormat="false" ht="15" hidden="false" customHeight="false" outlineLevel="0" collapsed="false">
      <c r="A76" s="66" t="s">
        <v>626</v>
      </c>
      <c r="B76" s="66" t="s">
        <v>627</v>
      </c>
      <c r="C76" s="66" t="s">
        <v>211</v>
      </c>
      <c r="D76" s="66" t="s">
        <v>628</v>
      </c>
      <c r="E76" s="66" t="s">
        <v>278</v>
      </c>
      <c r="F76" s="66" t="s">
        <v>629</v>
      </c>
      <c r="G76" s="66" t="s">
        <v>630</v>
      </c>
      <c r="H76" s="66" t="s">
        <v>21</v>
      </c>
      <c r="I76" s="66" t="s">
        <v>218</v>
      </c>
      <c r="J76" s="67"/>
      <c r="K76" s="67"/>
      <c r="L76" s="67"/>
      <c r="M76" s="66" t="n">
        <v>0</v>
      </c>
      <c r="N76" s="66"/>
      <c r="O76" s="66"/>
      <c r="P76" s="66"/>
      <c r="Q76" s="66" t="n">
        <f aca="false">IF(OR(H76="Initial Contact",H76="In Discussion",H76="Meeting Scheduled",H76="Engaged"),1,0)</f>
        <v>0</v>
      </c>
      <c r="R76" s="66" t="str">
        <f aca="false">IF(OR(K76="",K76&gt;Analysis!$B$3),"",Analysis!$B$3-K76)</f>
        <v/>
      </c>
      <c r="S76" s="66" t="n">
        <f aca="false">IF(AND(Q76=1,L76&lt;&gt;"",L76&lt;Analysis!$B$3),1,0)</f>
        <v>0</v>
      </c>
      <c r="T76" s="66" t="n">
        <f aca="false">IF(Q76=1,IF(R76="",0,IF(R76&gt;Analysis!$B$4,1,0)),0)</f>
        <v>0</v>
      </c>
      <c r="U76" s="66" t="n">
        <f aca="false">IF(AND(Q76=1,L76=""),1,0)</f>
        <v>0</v>
      </c>
      <c r="V76" s="66" t="str">
        <f aca="false">IF(TRIM(F76)="","Missing",IF(IFERROR(FIND(".",F76,FIND("@",F76)),0)&gt;0,"Valid","Invalid"))</f>
        <v>Valid</v>
      </c>
      <c r="W76" s="66" t="str">
        <f aca="false">IF(TRIM(G76)="","Missing",IF(OR(AND(LEFT(G76,4)="+91 ",LEN(G76)=15),AND(LEFT(G76,7)="+91 11 ",LEN(G76)=16)),"Valid","Invalid"))</f>
        <v>Valid</v>
      </c>
      <c r="X76" s="66" t="n">
        <f aca="false">IF(AND(J76&lt;&gt;"",K76&lt;&gt;"",K76&lt;J76),1,0)</f>
        <v>0</v>
      </c>
      <c r="Y76" s="66" t="n">
        <f aca="false">IF(AND(K76&lt;&gt;"",K76&gt;Analysis!$B$3),1,0)</f>
        <v>0</v>
      </c>
      <c r="Z76" s="66" t="n">
        <f aca="false">IF(AND(Q76=1,ISNUMBER(SEARCH("declin",P76))),1,0)</f>
        <v>0</v>
      </c>
      <c r="AA76" s="66" t="n">
        <f aca="false">IF(Q76=1,S76*2+T76*2+U76+IF(I76="",1,0)+IF(N76="High",2,IF(N76="Medium",1,0)),0)</f>
        <v>0</v>
      </c>
      <c r="AB76" s="66" t="str">
        <f aca="false">IF(Q76=0,"",TRIM(IF(S76=1,"Follow-up overdue. ","")&amp;IF(T76=1,"No contact "&amp;Analysis!$B$4&amp;"+ days. ","")&amp;IF(U76=1,"No follow-up date. ","")&amp;IF(I76="","No owner. ","")&amp;IF(Z76=1,"Remarks conflict with status. ","")&amp;IF(X76=1,"Date error (last &lt; first). ","")&amp;IF(Y76=1,"Future-dated contact. ","")))</f>
        <v/>
      </c>
    </row>
    <row r="77" customFormat="false" ht="15" hidden="false" customHeight="false" outlineLevel="0" collapsed="false">
      <c r="A77" s="66" t="s">
        <v>631</v>
      </c>
      <c r="B77" s="66" t="s">
        <v>632</v>
      </c>
      <c r="C77" s="66" t="s">
        <v>211</v>
      </c>
      <c r="D77" s="66" t="s">
        <v>633</v>
      </c>
      <c r="E77" s="66" t="s">
        <v>265</v>
      </c>
      <c r="F77" s="66" t="s">
        <v>634</v>
      </c>
      <c r="G77" s="66"/>
      <c r="H77" s="66" t="s">
        <v>14</v>
      </c>
      <c r="I77" s="66" t="s">
        <v>218</v>
      </c>
      <c r="J77" s="67" t="n">
        <v>45884</v>
      </c>
      <c r="K77" s="67" t="n">
        <v>46277</v>
      </c>
      <c r="L77" s="67" t="n">
        <v>46321</v>
      </c>
      <c r="M77" s="66" t="n">
        <v>8</v>
      </c>
      <c r="N77" s="66"/>
      <c r="O77" s="66" t="s">
        <v>228</v>
      </c>
      <c r="P77" s="66" t="s">
        <v>405</v>
      </c>
      <c r="Q77" s="66" t="n">
        <f aca="false">IF(OR(H77="Initial Contact",H77="In Discussion",H77="Meeting Scheduled",H77="Engaged"),1,0)</f>
        <v>1</v>
      </c>
      <c r="R77" s="66" t="n">
        <f aca="false">IF(OR(K77="",K77&gt;Analysis!$B$3),"",Analysis!$B$3-K77)</f>
        <v>23</v>
      </c>
      <c r="S77" s="66" t="n">
        <f aca="false">IF(AND(Q77=1,L77&lt;&gt;"",L77&lt;Analysis!$B$3),1,0)</f>
        <v>0</v>
      </c>
      <c r="T77" s="66" t="n">
        <f aca="false">IF(Q77=1,IF(R77="",0,IF(R77&gt;Analysis!$B$4,1,0)),0)</f>
        <v>0</v>
      </c>
      <c r="U77" s="66" t="n">
        <f aca="false">IF(AND(Q77=1,L77=""),1,0)</f>
        <v>0</v>
      </c>
      <c r="V77" s="66" t="str">
        <f aca="false">IF(TRIM(F77)="","Missing",IF(IFERROR(FIND(".",F77,FIND("@",F77)),0)&gt;0,"Valid","Invalid"))</f>
        <v>Valid</v>
      </c>
      <c r="W77" s="66" t="str">
        <f aca="false">IF(TRIM(G77)="","Missing",IF(OR(AND(LEFT(G77,4)="+91 ",LEN(G77)=15),AND(LEFT(G77,7)="+91 11 ",LEN(G77)=16)),"Valid","Invalid"))</f>
        <v>Missing</v>
      </c>
      <c r="X77" s="66" t="n">
        <f aca="false">IF(AND(J77&lt;&gt;"",K77&lt;&gt;"",K77&lt;J77),1,0)</f>
        <v>0</v>
      </c>
      <c r="Y77" s="66" t="n">
        <f aca="false">IF(AND(K77&lt;&gt;"",K77&gt;Analysis!$B$3),1,0)</f>
        <v>0</v>
      </c>
      <c r="Z77" s="66" t="n">
        <f aca="false">IF(AND(Q77=1,ISNUMBER(SEARCH("declin",P77))),1,0)</f>
        <v>0</v>
      </c>
      <c r="AA77" s="66" t="n">
        <f aca="false">IF(Q77=1,S77*2+T77*2+U77+IF(I77="",1,0)+IF(N77="High",2,IF(N77="Medium",1,0)),0)</f>
        <v>0</v>
      </c>
      <c r="AB77" s="66" t="str">
        <f aca="false">IF(Q77=0,"",TRIM(IF(S77=1,"Follow-up overdue. ","")&amp;IF(T77=1,"No contact "&amp;Analysis!$B$4&amp;"+ days. ","")&amp;IF(U77=1,"No follow-up date. ","")&amp;IF(I77="","No owner. ","")&amp;IF(Z77=1,"Remarks conflict with status. ","")&amp;IF(X77=1,"Date error (last &lt; first). ","")&amp;IF(Y77=1,"Future-dated contact. ","")))</f>
        <v/>
      </c>
    </row>
    <row r="78" customFormat="false" ht="15" hidden="false" customHeight="false" outlineLevel="0" collapsed="false">
      <c r="A78" s="66" t="s">
        <v>635</v>
      </c>
      <c r="B78" s="66" t="s">
        <v>636</v>
      </c>
      <c r="C78" s="66" t="s">
        <v>212</v>
      </c>
      <c r="D78" s="66" t="s">
        <v>637</v>
      </c>
      <c r="E78" s="66" t="s">
        <v>324</v>
      </c>
      <c r="F78" s="66" t="s">
        <v>638</v>
      </c>
      <c r="G78" s="66"/>
      <c r="H78" s="66" t="s">
        <v>192</v>
      </c>
      <c r="I78" s="66" t="s">
        <v>218</v>
      </c>
      <c r="J78" s="67" t="n">
        <v>45844</v>
      </c>
      <c r="K78" s="67" t="n">
        <v>46276</v>
      </c>
      <c r="L78" s="67"/>
      <c r="M78" s="66"/>
      <c r="N78" s="66" t="s">
        <v>106</v>
      </c>
      <c r="O78" s="66" t="s">
        <v>97</v>
      </c>
      <c r="P78" s="66" t="s">
        <v>315</v>
      </c>
      <c r="Q78" s="66" t="n">
        <f aca="false">IF(OR(H78="Initial Contact",H78="In Discussion",H78="Meeting Scheduled",H78="Engaged"),1,0)</f>
        <v>1</v>
      </c>
      <c r="R78" s="66" t="n">
        <f aca="false">IF(OR(K78="",K78&gt;Analysis!$B$3),"",Analysis!$B$3-K78)</f>
        <v>24</v>
      </c>
      <c r="S78" s="66" t="n">
        <f aca="false">IF(AND(Q78=1,L78&lt;&gt;"",L78&lt;Analysis!$B$3),1,0)</f>
        <v>0</v>
      </c>
      <c r="T78" s="66" t="n">
        <f aca="false">IF(Q78=1,IF(R78="",0,IF(R78&gt;Analysis!$B$4,1,0)),0)</f>
        <v>0</v>
      </c>
      <c r="U78" s="66" t="n">
        <f aca="false">IF(AND(Q78=1,L78=""),1,0)</f>
        <v>1</v>
      </c>
      <c r="V78" s="66" t="str">
        <f aca="false">IF(TRIM(F78)="","Missing",IF(IFERROR(FIND(".",F78,FIND("@",F78)),0)&gt;0,"Valid","Invalid"))</f>
        <v>Valid</v>
      </c>
      <c r="W78" s="66" t="str">
        <f aca="false">IF(TRIM(G78)="","Missing",IF(OR(AND(LEFT(G78,4)="+91 ",LEN(G78)=15),AND(LEFT(G78,7)="+91 11 ",LEN(G78)=16)),"Valid","Invalid"))</f>
        <v>Missing</v>
      </c>
      <c r="X78" s="66" t="n">
        <f aca="false">IF(AND(J78&lt;&gt;"",K78&lt;&gt;"",K78&lt;J78),1,0)</f>
        <v>0</v>
      </c>
      <c r="Y78" s="66" t="n">
        <f aca="false">IF(AND(K78&lt;&gt;"",K78&gt;Analysis!$B$3),1,0)</f>
        <v>0</v>
      </c>
      <c r="Z78" s="66" t="n">
        <f aca="false">IF(AND(Q78=1,ISNUMBER(SEARCH("declin",P78))),1,0)</f>
        <v>0</v>
      </c>
      <c r="AA78" s="66" t="n">
        <f aca="false">IF(Q78=1,S78*2+T78*2+U78+IF(I78="",1,0)+IF(N78="High",2,IF(N78="Medium",1,0)),0)</f>
        <v>1</v>
      </c>
      <c r="AB78" s="66" t="str">
        <f aca="false">IF(Q78=0,"",TRIM(IF(S78=1,"Follow-up overdue. ","")&amp;IF(T78=1,"No contact "&amp;Analysis!$B$4&amp;"+ days. ","")&amp;IF(U78=1,"No follow-up date. ","")&amp;IF(I78="","No owner. ","")&amp;IF(Z78=1,"Remarks conflict with status. ","")&amp;IF(X78=1,"Date error (last &lt; first). ","")&amp;IF(Y78=1,"Future-dated contact. ","")))</f>
        <v>No follow-up date.</v>
      </c>
    </row>
    <row r="79" customFormat="false" ht="15" hidden="false" customHeight="false" outlineLevel="0" collapsed="false">
      <c r="A79" s="66" t="s">
        <v>639</v>
      </c>
      <c r="B79" s="66" t="s">
        <v>640</v>
      </c>
      <c r="C79" s="66" t="s">
        <v>212</v>
      </c>
      <c r="D79" s="66" t="s">
        <v>641</v>
      </c>
      <c r="E79" s="66" t="s">
        <v>324</v>
      </c>
      <c r="F79" s="66" t="s">
        <v>642</v>
      </c>
      <c r="G79" s="66" t="s">
        <v>643</v>
      </c>
      <c r="H79" s="66" t="s">
        <v>195</v>
      </c>
      <c r="I79" s="66" t="s">
        <v>220</v>
      </c>
      <c r="J79" s="67" t="n">
        <v>46314</v>
      </c>
      <c r="K79" s="67" t="n">
        <v>45847</v>
      </c>
      <c r="L79" s="67" t="n">
        <v>46380</v>
      </c>
      <c r="M79" s="66" t="n">
        <v>5</v>
      </c>
      <c r="N79" s="66" t="s">
        <v>106</v>
      </c>
      <c r="O79" s="66" t="s">
        <v>105</v>
      </c>
      <c r="P79" s="66" t="s">
        <v>274</v>
      </c>
      <c r="Q79" s="66" t="n">
        <f aca="false">IF(OR(H79="Initial Contact",H79="In Discussion",H79="Meeting Scheduled",H79="Engaged"),1,0)</f>
        <v>0</v>
      </c>
      <c r="R79" s="66" t="n">
        <f aca="false">IF(OR(K79="",K79&gt;Analysis!$B$3),"",Analysis!$B$3-K79)</f>
        <v>453</v>
      </c>
      <c r="S79" s="66" t="n">
        <f aca="false">IF(AND(Q79=1,L79&lt;&gt;"",L79&lt;Analysis!$B$3),1,0)</f>
        <v>0</v>
      </c>
      <c r="T79" s="66" t="n">
        <f aca="false">IF(Q79=1,IF(R79="",0,IF(R79&gt;Analysis!$B$4,1,0)),0)</f>
        <v>0</v>
      </c>
      <c r="U79" s="66" t="n">
        <f aca="false">IF(AND(Q79=1,L79=""),1,0)</f>
        <v>0</v>
      </c>
      <c r="V79" s="66" t="str">
        <f aca="false">IF(TRIM(F79)="","Missing",IF(IFERROR(FIND(".",F79,FIND("@",F79)),0)&gt;0,"Valid","Invalid"))</f>
        <v>Valid</v>
      </c>
      <c r="W79" s="66" t="str">
        <f aca="false">IF(TRIM(G79)="","Missing",IF(OR(AND(LEFT(G79,4)="+91 ",LEN(G79)=15),AND(LEFT(G79,7)="+91 11 ",LEN(G79)=16)),"Valid","Invalid"))</f>
        <v>Valid</v>
      </c>
      <c r="X79" s="66" t="n">
        <f aca="false">IF(AND(J79&lt;&gt;"",K79&lt;&gt;"",K79&lt;J79),1,0)</f>
        <v>1</v>
      </c>
      <c r="Y79" s="66" t="n">
        <f aca="false">IF(AND(K79&lt;&gt;"",K79&gt;Analysis!$B$3),1,0)</f>
        <v>0</v>
      </c>
      <c r="Z79" s="66" t="n">
        <f aca="false">IF(AND(Q79=1,ISNUMBER(SEARCH("declin",P79))),1,0)</f>
        <v>0</v>
      </c>
      <c r="AA79" s="66" t="n">
        <f aca="false">IF(Q79=1,S79*2+T79*2+U79+IF(I79="",1,0)+IF(N79="High",2,IF(N79="Medium",1,0)),0)</f>
        <v>0</v>
      </c>
      <c r="AB79" s="66" t="str">
        <f aca="false">IF(Q79=0,"",TRIM(IF(S79=1,"Follow-up overdue. ","")&amp;IF(T79=1,"No contact "&amp;Analysis!$B$4&amp;"+ days. ","")&amp;IF(U79=1,"No follow-up date. ","")&amp;IF(I79="","No owner. ","")&amp;IF(Z79=1,"Remarks conflict with status. ","")&amp;IF(X79=1,"Date error (last &lt; first). ","")&amp;IF(Y79=1,"Future-dated contact. ","")))</f>
        <v/>
      </c>
    </row>
    <row r="80" customFormat="false" ht="15" hidden="false" customHeight="false" outlineLevel="0" collapsed="false">
      <c r="A80" s="66" t="s">
        <v>644</v>
      </c>
      <c r="B80" s="66" t="s">
        <v>645</v>
      </c>
      <c r="C80" s="66" t="s">
        <v>212</v>
      </c>
      <c r="D80" s="66" t="s">
        <v>646</v>
      </c>
      <c r="E80" s="66" t="s">
        <v>336</v>
      </c>
      <c r="F80" s="66"/>
      <c r="G80" s="66" t="s">
        <v>647</v>
      </c>
      <c r="H80" s="66" t="s">
        <v>14</v>
      </c>
      <c r="I80" s="66" t="s">
        <v>219</v>
      </c>
      <c r="J80" s="67" t="n">
        <v>46009</v>
      </c>
      <c r="K80" s="67" t="n">
        <v>46211</v>
      </c>
      <c r="L80" s="67" t="n">
        <v>46227</v>
      </c>
      <c r="M80" s="66" t="n">
        <v>10</v>
      </c>
      <c r="N80" s="66" t="s">
        <v>85</v>
      </c>
      <c r="O80" s="66" t="s">
        <v>97</v>
      </c>
      <c r="P80" s="66" t="s">
        <v>281</v>
      </c>
      <c r="Q80" s="66" t="n">
        <f aca="false">IF(OR(H80="Initial Contact",H80="In Discussion",H80="Meeting Scheduled",H80="Engaged"),1,0)</f>
        <v>1</v>
      </c>
      <c r="R80" s="66" t="n">
        <f aca="false">IF(OR(K80="",K80&gt;Analysis!$B$3),"",Analysis!$B$3-K80)</f>
        <v>89</v>
      </c>
      <c r="S80" s="66" t="n">
        <f aca="false">IF(AND(Q80=1,L80&lt;&gt;"",L80&lt;Analysis!$B$3),1,0)</f>
        <v>1</v>
      </c>
      <c r="T80" s="66" t="n">
        <f aca="false">IF(Q80=1,IF(R80="",0,IF(R80&gt;Analysis!$B$4,1,0)),0)</f>
        <v>0</v>
      </c>
      <c r="U80" s="66" t="n">
        <f aca="false">IF(AND(Q80=1,L80=""),1,0)</f>
        <v>0</v>
      </c>
      <c r="V80" s="66" t="str">
        <f aca="false">IF(TRIM(F80)="","Missing",IF(IFERROR(FIND(".",F80,FIND("@",F80)),0)&gt;0,"Valid","Invalid"))</f>
        <v>Missing</v>
      </c>
      <c r="W80" s="66" t="str">
        <f aca="false">IF(TRIM(G80)="","Missing",IF(OR(AND(LEFT(G80,4)="+91 ",LEN(G80)=15),AND(LEFT(G80,7)="+91 11 ",LEN(G80)=16)),"Valid","Invalid"))</f>
        <v>Valid</v>
      </c>
      <c r="X80" s="66" t="n">
        <f aca="false">IF(AND(J80&lt;&gt;"",K80&lt;&gt;"",K80&lt;J80),1,0)</f>
        <v>0</v>
      </c>
      <c r="Y80" s="66" t="n">
        <f aca="false">IF(AND(K80&lt;&gt;"",K80&gt;Analysis!$B$3),1,0)</f>
        <v>0</v>
      </c>
      <c r="Z80" s="66" t="n">
        <f aca="false">IF(AND(Q80=1,ISNUMBER(SEARCH("declin",P80))),1,0)</f>
        <v>0</v>
      </c>
      <c r="AA80" s="66" t="n">
        <f aca="false">IF(Q80=1,S80*2+T80*2+U80+IF(I80="",1,0)+IF(N80="High",2,IF(N80="Medium",1,0)),0)</f>
        <v>3</v>
      </c>
      <c r="AB80" s="66" t="str">
        <f aca="false">IF(Q80=0,"",TRIM(IF(S80=1,"Follow-up overdue. ","")&amp;IF(T80=1,"No contact "&amp;Analysis!$B$4&amp;"+ days. ","")&amp;IF(U80=1,"No follow-up date. ","")&amp;IF(I80="","No owner. ","")&amp;IF(Z80=1,"Remarks conflict with status. ","")&amp;IF(X80=1,"Date error (last &lt; first). ","")&amp;IF(Y80=1,"Future-dated contact. ","")))</f>
        <v>Follow-up overdue.</v>
      </c>
    </row>
    <row r="81" customFormat="false" ht="15" hidden="false" customHeight="false" outlineLevel="0" collapsed="false">
      <c r="A81" s="66" t="s">
        <v>648</v>
      </c>
      <c r="B81" s="66" t="s">
        <v>649</v>
      </c>
      <c r="C81" s="66" t="s">
        <v>212</v>
      </c>
      <c r="D81" s="66" t="s">
        <v>650</v>
      </c>
      <c r="E81" s="66" t="s">
        <v>265</v>
      </c>
      <c r="F81" s="66" t="s">
        <v>651</v>
      </c>
      <c r="G81" s="66" t="s">
        <v>652</v>
      </c>
      <c r="H81" s="66" t="s">
        <v>192</v>
      </c>
      <c r="I81" s="66" t="s">
        <v>222</v>
      </c>
      <c r="J81" s="67" t="n">
        <v>45738</v>
      </c>
      <c r="K81" s="67" t="n">
        <v>46206</v>
      </c>
      <c r="L81" s="67" t="n">
        <v>46224</v>
      </c>
      <c r="M81" s="66" t="n">
        <v>1</v>
      </c>
      <c r="N81" s="66"/>
      <c r="O81" s="66" t="s">
        <v>97</v>
      </c>
      <c r="P81" s="66" t="s">
        <v>350</v>
      </c>
      <c r="Q81" s="66" t="n">
        <f aca="false">IF(OR(H81="Initial Contact",H81="In Discussion",H81="Meeting Scheduled",H81="Engaged"),1,0)</f>
        <v>1</v>
      </c>
      <c r="R81" s="66" t="n">
        <f aca="false">IF(OR(K81="",K81&gt;Analysis!$B$3),"",Analysis!$B$3-K81)</f>
        <v>94</v>
      </c>
      <c r="S81" s="66" t="n">
        <f aca="false">IF(AND(Q81=1,L81&lt;&gt;"",L81&lt;Analysis!$B$3),1,0)</f>
        <v>1</v>
      </c>
      <c r="T81" s="66" t="n">
        <f aca="false">IF(Q81=1,IF(R81="",0,IF(R81&gt;Analysis!$B$4,1,0)),0)</f>
        <v>1</v>
      </c>
      <c r="U81" s="66" t="n">
        <f aca="false">IF(AND(Q81=1,L81=""),1,0)</f>
        <v>0</v>
      </c>
      <c r="V81" s="66" t="str">
        <f aca="false">IF(TRIM(F81)="","Missing",IF(IFERROR(FIND(".",F81,FIND("@",F81)),0)&gt;0,"Valid","Invalid"))</f>
        <v>Valid</v>
      </c>
      <c r="W81" s="66" t="str">
        <f aca="false">IF(TRIM(G81)="","Missing",IF(OR(AND(LEFT(G81,4)="+91 ",LEN(G81)=15),AND(LEFT(G81,7)="+91 11 ",LEN(G81)=16)),"Valid","Invalid"))</f>
        <v>Valid</v>
      </c>
      <c r="X81" s="66" t="n">
        <f aca="false">IF(AND(J81&lt;&gt;"",K81&lt;&gt;"",K81&lt;J81),1,0)</f>
        <v>0</v>
      </c>
      <c r="Y81" s="66" t="n">
        <f aca="false">IF(AND(K81&lt;&gt;"",K81&gt;Analysis!$B$3),1,0)</f>
        <v>0</v>
      </c>
      <c r="Z81" s="66" t="n">
        <f aca="false">IF(AND(Q81=1,ISNUMBER(SEARCH("declin",P81))),1,0)</f>
        <v>0</v>
      </c>
      <c r="AA81" s="66" t="n">
        <f aca="false">IF(Q81=1,S81*2+T81*2+U81+IF(I81="",1,0)+IF(N81="High",2,IF(N81="Medium",1,0)),0)</f>
        <v>4</v>
      </c>
      <c r="AB81" s="66" t="str">
        <f aca="false">IF(Q81=0,"",TRIM(IF(S81=1,"Follow-up overdue. ","")&amp;IF(T81=1,"No contact "&amp;Analysis!$B$4&amp;"+ days. ","")&amp;IF(U81=1,"No follow-up date. ","")&amp;IF(I81="","No owner. ","")&amp;IF(Z81=1,"Remarks conflict with status. ","")&amp;IF(X81=1,"Date error (last &lt; first). ","")&amp;IF(Y81=1,"Future-dated contact. ","")))</f>
        <v>Follow-up overdue. No contact 90+ days.</v>
      </c>
    </row>
    <row r="82" customFormat="false" ht="15" hidden="false" customHeight="false" outlineLevel="0" collapsed="false">
      <c r="A82" s="66" t="s">
        <v>40</v>
      </c>
      <c r="B82" s="66" t="s">
        <v>653</v>
      </c>
      <c r="C82" s="66" t="s">
        <v>212</v>
      </c>
      <c r="D82" s="66" t="s">
        <v>654</v>
      </c>
      <c r="E82" s="66" t="s">
        <v>259</v>
      </c>
      <c r="F82" s="66"/>
      <c r="G82" s="66" t="s">
        <v>655</v>
      </c>
      <c r="H82" s="66" t="s">
        <v>193</v>
      </c>
      <c r="I82" s="66" t="s">
        <v>222</v>
      </c>
      <c r="J82" s="67" t="n">
        <v>45840</v>
      </c>
      <c r="K82" s="67" t="n">
        <v>46193</v>
      </c>
      <c r="L82" s="67" t="n">
        <v>46242</v>
      </c>
      <c r="M82" s="66" t="n">
        <v>5</v>
      </c>
      <c r="N82" s="66" t="s">
        <v>85</v>
      </c>
      <c r="O82" s="66" t="s">
        <v>97</v>
      </c>
      <c r="P82" s="66" t="s">
        <v>433</v>
      </c>
      <c r="Q82" s="66" t="n">
        <f aca="false">IF(OR(H82="Initial Contact",H82="In Discussion",H82="Meeting Scheduled",H82="Engaged"),1,0)</f>
        <v>1</v>
      </c>
      <c r="R82" s="66" t="n">
        <f aca="false">IF(OR(K82="",K82&gt;Analysis!$B$3),"",Analysis!$B$3-K82)</f>
        <v>107</v>
      </c>
      <c r="S82" s="66" t="n">
        <f aca="false">IF(AND(Q82=1,L82&lt;&gt;"",L82&lt;Analysis!$B$3),1,0)</f>
        <v>1</v>
      </c>
      <c r="T82" s="66" t="n">
        <f aca="false">IF(Q82=1,IF(R82="",0,IF(R82&gt;Analysis!$B$4,1,0)),0)</f>
        <v>1</v>
      </c>
      <c r="U82" s="66" t="n">
        <f aca="false">IF(AND(Q82=1,L82=""),1,0)</f>
        <v>0</v>
      </c>
      <c r="V82" s="66" t="str">
        <f aca="false">IF(TRIM(F82)="","Missing",IF(IFERROR(FIND(".",F82,FIND("@",F82)),0)&gt;0,"Valid","Invalid"))</f>
        <v>Missing</v>
      </c>
      <c r="W82" s="66" t="str">
        <f aca="false">IF(TRIM(G82)="","Missing",IF(OR(AND(LEFT(G82,4)="+91 ",LEN(G82)=15),AND(LEFT(G82,7)="+91 11 ",LEN(G82)=16)),"Valid","Invalid"))</f>
        <v>Valid</v>
      </c>
      <c r="X82" s="66" t="n">
        <f aca="false">IF(AND(J82&lt;&gt;"",K82&lt;&gt;"",K82&lt;J82),1,0)</f>
        <v>0</v>
      </c>
      <c r="Y82" s="66" t="n">
        <f aca="false">IF(AND(K82&lt;&gt;"",K82&gt;Analysis!$B$3),1,0)</f>
        <v>0</v>
      </c>
      <c r="Z82" s="66" t="n">
        <f aca="false">IF(AND(Q82=1,ISNUMBER(SEARCH("declin",P82))),1,0)</f>
        <v>0</v>
      </c>
      <c r="AA82" s="66" t="n">
        <f aca="false">IF(Q82=1,S82*2+T82*2+U82+IF(I82="",1,0)+IF(N82="High",2,IF(N82="Medium",1,0)),0)</f>
        <v>5</v>
      </c>
      <c r="AB82" s="66" t="str">
        <f aca="false">IF(Q82=0,"",TRIM(IF(S82=1,"Follow-up overdue. ","")&amp;IF(T82=1,"No contact "&amp;Analysis!$B$4&amp;"+ days. ","")&amp;IF(U82=1,"No follow-up date. ","")&amp;IF(I82="","No owner. ","")&amp;IF(Z82=1,"Remarks conflict with status. ","")&amp;IF(X82=1,"Date error (last &lt; first). ","")&amp;IF(Y82=1,"Future-dated contact. ","")))</f>
        <v>Follow-up overdue. No contact 90+ days.</v>
      </c>
    </row>
    <row r="83" customFormat="false" ht="15" hidden="false" customHeight="false" outlineLevel="0" collapsed="false">
      <c r="A83" s="66" t="s">
        <v>656</v>
      </c>
      <c r="B83" s="66" t="s">
        <v>657</v>
      </c>
      <c r="C83" s="66" t="s">
        <v>212</v>
      </c>
      <c r="D83" s="66" t="s">
        <v>658</v>
      </c>
      <c r="E83" s="66" t="s">
        <v>336</v>
      </c>
      <c r="F83" s="66" t="s">
        <v>659</v>
      </c>
      <c r="G83" s="66" t="s">
        <v>660</v>
      </c>
      <c r="H83" s="66" t="s">
        <v>194</v>
      </c>
      <c r="I83" s="66" t="s">
        <v>219</v>
      </c>
      <c r="J83" s="67" t="n">
        <v>46192</v>
      </c>
      <c r="K83" s="67" t="n">
        <v>46281</v>
      </c>
      <c r="L83" s="67" t="n">
        <v>46312</v>
      </c>
      <c r="M83" s="66" t="n">
        <v>7</v>
      </c>
      <c r="N83" s="66" t="s">
        <v>64</v>
      </c>
      <c r="O83" s="66" t="s">
        <v>97</v>
      </c>
      <c r="P83" s="66" t="s">
        <v>327</v>
      </c>
      <c r="Q83" s="66" t="n">
        <f aca="false">IF(OR(H83="Initial Contact",H83="In Discussion",H83="Meeting Scheduled",H83="Engaged"),1,0)</f>
        <v>1</v>
      </c>
      <c r="R83" s="66" t="n">
        <f aca="false">IF(OR(K83="",K83&gt;Analysis!$B$3),"",Analysis!$B$3-K83)</f>
        <v>19</v>
      </c>
      <c r="S83" s="66" t="n">
        <f aca="false">IF(AND(Q83=1,L83&lt;&gt;"",L83&lt;Analysis!$B$3),1,0)</f>
        <v>0</v>
      </c>
      <c r="T83" s="66" t="n">
        <f aca="false">IF(Q83=1,IF(R83="",0,IF(R83&gt;Analysis!$B$4,1,0)),0)</f>
        <v>0</v>
      </c>
      <c r="U83" s="66" t="n">
        <f aca="false">IF(AND(Q83=1,L83=""),1,0)</f>
        <v>0</v>
      </c>
      <c r="V83" s="66" t="str">
        <f aca="false">IF(TRIM(F83)="","Missing",IF(IFERROR(FIND(".",F83,FIND("@",F83)),0)&gt;0,"Valid","Invalid"))</f>
        <v>Valid</v>
      </c>
      <c r="W83" s="66" t="str">
        <f aca="false">IF(TRIM(G83)="","Missing",IF(OR(AND(LEFT(G83,4)="+91 ",LEN(G83)=15),AND(LEFT(G83,7)="+91 11 ",LEN(G83)=16)),"Valid","Invalid"))</f>
        <v>Valid</v>
      </c>
      <c r="X83" s="66" t="n">
        <f aca="false">IF(AND(J83&lt;&gt;"",K83&lt;&gt;"",K83&lt;J83),1,0)</f>
        <v>0</v>
      </c>
      <c r="Y83" s="66" t="n">
        <f aca="false">IF(AND(K83&lt;&gt;"",K83&gt;Analysis!$B$3),1,0)</f>
        <v>0</v>
      </c>
      <c r="Z83" s="66" t="n">
        <f aca="false">IF(AND(Q83=1,ISNUMBER(SEARCH("declin",P83))),1,0)</f>
        <v>0</v>
      </c>
      <c r="AA83" s="66" t="n">
        <f aca="false">IF(Q83=1,S83*2+T83*2+U83+IF(I83="",1,0)+IF(N83="High",2,IF(N83="Medium",1,0)),0)</f>
        <v>2</v>
      </c>
      <c r="AB83" s="66" t="str">
        <f aca="false">IF(Q83=0,"",TRIM(IF(S83=1,"Follow-up overdue. ","")&amp;IF(T83=1,"No contact "&amp;Analysis!$B$4&amp;"+ days. ","")&amp;IF(U83=1,"No follow-up date. ","")&amp;IF(I83="","No owner. ","")&amp;IF(Z83=1,"Remarks conflict with status. ","")&amp;IF(X83=1,"Date error (last &lt; first). ","")&amp;IF(Y83=1,"Future-dated contact. ","")))</f>
        <v/>
      </c>
    </row>
    <row r="84" customFormat="false" ht="15" hidden="false" customHeight="false" outlineLevel="0" collapsed="false">
      <c r="A84" s="66" t="s">
        <v>661</v>
      </c>
      <c r="B84" s="66" t="s">
        <v>662</v>
      </c>
      <c r="C84" s="66" t="s">
        <v>212</v>
      </c>
      <c r="D84" s="66" t="s">
        <v>663</v>
      </c>
      <c r="E84" s="66" t="s">
        <v>336</v>
      </c>
      <c r="F84" s="66" t="s">
        <v>664</v>
      </c>
      <c r="G84" s="66" t="s">
        <v>665</v>
      </c>
      <c r="H84" s="66" t="s">
        <v>192</v>
      </c>
      <c r="I84" s="66" t="s">
        <v>219</v>
      </c>
      <c r="J84" s="67" t="n">
        <v>46092</v>
      </c>
      <c r="K84" s="67" t="n">
        <v>46251</v>
      </c>
      <c r="L84" s="67" t="n">
        <v>46275</v>
      </c>
      <c r="M84" s="66" t="n">
        <v>2</v>
      </c>
      <c r="N84" s="66" t="s">
        <v>106</v>
      </c>
      <c r="O84" s="66" t="s">
        <v>229</v>
      </c>
      <c r="P84" s="66" t="s">
        <v>510</v>
      </c>
      <c r="Q84" s="66" t="n">
        <f aca="false">IF(OR(H84="Initial Contact",H84="In Discussion",H84="Meeting Scheduled",H84="Engaged"),1,0)</f>
        <v>1</v>
      </c>
      <c r="R84" s="66" t="n">
        <f aca="false">IF(OR(K84="",K84&gt;Analysis!$B$3),"",Analysis!$B$3-K84)</f>
        <v>49</v>
      </c>
      <c r="S84" s="66" t="n">
        <f aca="false">IF(AND(Q84=1,L84&lt;&gt;"",L84&lt;Analysis!$B$3),1,0)</f>
        <v>1</v>
      </c>
      <c r="T84" s="66" t="n">
        <f aca="false">IF(Q84=1,IF(R84="",0,IF(R84&gt;Analysis!$B$4,1,0)),0)</f>
        <v>0</v>
      </c>
      <c r="U84" s="66" t="n">
        <f aca="false">IF(AND(Q84=1,L84=""),1,0)</f>
        <v>0</v>
      </c>
      <c r="V84" s="66" t="str">
        <f aca="false">IF(TRIM(F84)="","Missing",IF(IFERROR(FIND(".",F84,FIND("@",F84)),0)&gt;0,"Valid","Invalid"))</f>
        <v>Valid</v>
      </c>
      <c r="W84" s="66" t="str">
        <f aca="false">IF(TRIM(G84)="","Missing",IF(OR(AND(LEFT(G84,4)="+91 ",LEN(G84)=15),AND(LEFT(G84,7)="+91 11 ",LEN(G84)=16)),"Valid","Invalid"))</f>
        <v>Valid</v>
      </c>
      <c r="X84" s="66" t="n">
        <f aca="false">IF(AND(J84&lt;&gt;"",K84&lt;&gt;"",K84&lt;J84),1,0)</f>
        <v>0</v>
      </c>
      <c r="Y84" s="66" t="n">
        <f aca="false">IF(AND(K84&lt;&gt;"",K84&gt;Analysis!$B$3),1,0)</f>
        <v>0</v>
      </c>
      <c r="Z84" s="66" t="n">
        <f aca="false">IF(AND(Q84=1,ISNUMBER(SEARCH("declin",P84))),1,0)</f>
        <v>0</v>
      </c>
      <c r="AA84" s="66" t="n">
        <f aca="false">IF(Q84=1,S84*2+T84*2+U84+IF(I84="",1,0)+IF(N84="High",2,IF(N84="Medium",1,0)),0)</f>
        <v>2</v>
      </c>
      <c r="AB84" s="66" t="str">
        <f aca="false">IF(Q84=0,"",TRIM(IF(S84=1,"Follow-up overdue. ","")&amp;IF(T84=1,"No contact "&amp;Analysis!$B$4&amp;"+ days. ","")&amp;IF(U84=1,"No follow-up date. ","")&amp;IF(I84="","No owner. ","")&amp;IF(Z84=1,"Remarks conflict with status. ","")&amp;IF(X84=1,"Date error (last &lt; first). ","")&amp;IF(Y84=1,"Future-dated contact. ","")))</f>
        <v>Follow-up overdue.</v>
      </c>
    </row>
    <row r="85" customFormat="false" ht="15" hidden="false" customHeight="false" outlineLevel="0" collapsed="false">
      <c r="A85" s="66" t="s">
        <v>666</v>
      </c>
      <c r="B85" s="66" t="s">
        <v>667</v>
      </c>
      <c r="C85" s="66" t="s">
        <v>212</v>
      </c>
      <c r="D85" s="66" t="s">
        <v>668</v>
      </c>
      <c r="E85" s="66" t="s">
        <v>308</v>
      </c>
      <c r="F85" s="66" t="s">
        <v>669</v>
      </c>
      <c r="G85" s="66"/>
      <c r="H85" s="66" t="s">
        <v>21</v>
      </c>
      <c r="I85" s="66" t="s">
        <v>220</v>
      </c>
      <c r="J85" s="67"/>
      <c r="K85" s="67"/>
      <c r="L85" s="67"/>
      <c r="M85" s="66" t="n">
        <v>0</v>
      </c>
      <c r="N85" s="66"/>
      <c r="O85" s="66"/>
      <c r="P85" s="66"/>
      <c r="Q85" s="66" t="n">
        <f aca="false">IF(OR(H85="Initial Contact",H85="In Discussion",H85="Meeting Scheduled",H85="Engaged"),1,0)</f>
        <v>0</v>
      </c>
      <c r="R85" s="66" t="str">
        <f aca="false">IF(OR(K85="",K85&gt;Analysis!$B$3),"",Analysis!$B$3-K85)</f>
        <v/>
      </c>
      <c r="S85" s="66" t="n">
        <f aca="false">IF(AND(Q85=1,L85&lt;&gt;"",L85&lt;Analysis!$B$3),1,0)</f>
        <v>0</v>
      </c>
      <c r="T85" s="66" t="n">
        <f aca="false">IF(Q85=1,IF(R85="",0,IF(R85&gt;Analysis!$B$4,1,0)),0)</f>
        <v>0</v>
      </c>
      <c r="U85" s="66" t="n">
        <f aca="false">IF(AND(Q85=1,L85=""),1,0)</f>
        <v>0</v>
      </c>
      <c r="V85" s="66" t="str">
        <f aca="false">IF(TRIM(F85)="","Missing",IF(IFERROR(FIND(".",F85,FIND("@",F85)),0)&gt;0,"Valid","Invalid"))</f>
        <v>Valid</v>
      </c>
      <c r="W85" s="66" t="str">
        <f aca="false">IF(TRIM(G85)="","Missing",IF(OR(AND(LEFT(G85,4)="+91 ",LEN(G85)=15),AND(LEFT(G85,7)="+91 11 ",LEN(G85)=16)),"Valid","Invalid"))</f>
        <v>Missing</v>
      </c>
      <c r="X85" s="66" t="n">
        <f aca="false">IF(AND(J85&lt;&gt;"",K85&lt;&gt;"",K85&lt;J85),1,0)</f>
        <v>0</v>
      </c>
      <c r="Y85" s="66" t="n">
        <f aca="false">IF(AND(K85&lt;&gt;"",K85&gt;Analysis!$B$3),1,0)</f>
        <v>0</v>
      </c>
      <c r="Z85" s="66" t="n">
        <f aca="false">IF(AND(Q85=1,ISNUMBER(SEARCH("declin",P85))),1,0)</f>
        <v>0</v>
      </c>
      <c r="AA85" s="66" t="n">
        <f aca="false">IF(Q85=1,S85*2+T85*2+U85+IF(I85="",1,0)+IF(N85="High",2,IF(N85="Medium",1,0)),0)</f>
        <v>0</v>
      </c>
      <c r="AB85" s="66" t="str">
        <f aca="false">IF(Q85=0,"",TRIM(IF(S85=1,"Follow-up overdue. ","")&amp;IF(T85=1,"No contact "&amp;Analysis!$B$4&amp;"+ days. ","")&amp;IF(U85=1,"No follow-up date. ","")&amp;IF(I85="","No owner. ","")&amp;IF(Z85=1,"Remarks conflict with status. ","")&amp;IF(X85=1,"Date error (last &lt; first). ","")&amp;IF(Y85=1,"Future-dated contact. ","")))</f>
        <v/>
      </c>
    </row>
  </sheetData>
  <autoFilter ref="A1:AB85"/>
  <conditionalFormatting sqref="V2:W85">
    <cfRule type="cellIs" priority="2" operator="equal" aboveAverage="0" equalAverage="0" bottom="0" percent="0" rank="0" text="" dxfId="0">
      <formula>"Invalid"</formula>
    </cfRule>
    <cfRule type="cellIs" priority="3" operator="equal" aboveAverage="0" equalAverage="0" bottom="0" percent="0" rank="0" text="" dxfId="1">
      <formula>"Missing"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R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2" min="10" style="0" width="15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36"/>
  </cols>
  <sheetData>
    <row r="1" customFormat="false" ht="27.75" hidden="false" customHeight="true" outlineLevel="0" collapsed="false">
      <c r="A1" s="41" t="s">
        <v>68</v>
      </c>
      <c r="B1" s="41" t="s">
        <v>77</v>
      </c>
      <c r="C1" s="41" t="s">
        <v>11</v>
      </c>
      <c r="D1" s="41" t="s">
        <v>670</v>
      </c>
      <c r="E1" s="41" t="s">
        <v>238</v>
      </c>
      <c r="F1" s="41" t="s">
        <v>97</v>
      </c>
      <c r="G1" s="41" t="s">
        <v>105</v>
      </c>
      <c r="H1" s="41" t="s">
        <v>81</v>
      </c>
      <c r="I1" s="41" t="s">
        <v>113</v>
      </c>
      <c r="J1" s="41" t="s">
        <v>671</v>
      </c>
      <c r="K1" s="41" t="s">
        <v>121</v>
      </c>
      <c r="L1" s="41" t="s">
        <v>157</v>
      </c>
      <c r="M1" s="41" t="s">
        <v>125</v>
      </c>
      <c r="N1" s="41" t="s">
        <v>117</v>
      </c>
      <c r="O1" s="41" t="s">
        <v>225</v>
      </c>
      <c r="P1" s="41" t="s">
        <v>242</v>
      </c>
      <c r="R1" s="53" t="s">
        <v>672</v>
      </c>
    </row>
    <row r="2" customFormat="false" ht="15" hidden="false" customHeight="false" outlineLevel="0" collapsed="false">
      <c r="A2" s="66" t="s">
        <v>256</v>
      </c>
      <c r="B2" s="66" t="s">
        <v>673</v>
      </c>
      <c r="C2" s="66" t="s">
        <v>207</v>
      </c>
      <c r="D2" s="66" t="s">
        <v>258</v>
      </c>
      <c r="E2" s="66" t="s">
        <v>259</v>
      </c>
      <c r="F2" s="66" t="s">
        <v>260</v>
      </c>
      <c r="G2" s="66" t="s">
        <v>261</v>
      </c>
      <c r="H2" s="66" t="s">
        <v>21</v>
      </c>
      <c r="I2" s="66" t="s">
        <v>221</v>
      </c>
      <c r="J2" s="66"/>
      <c r="K2" s="66"/>
      <c r="L2" s="66"/>
      <c r="M2" s="66" t="n">
        <v>0</v>
      </c>
      <c r="N2" s="66"/>
      <c r="O2" s="66"/>
      <c r="P2" s="66" t="s">
        <v>262</v>
      </c>
    </row>
    <row r="3" customFormat="false" ht="15" hidden="false" customHeight="false" outlineLevel="0" collapsed="false">
      <c r="A3" s="66" t="s">
        <v>43</v>
      </c>
      <c r="B3" s="66" t="s">
        <v>674</v>
      </c>
      <c r="C3" s="66" t="s">
        <v>207</v>
      </c>
      <c r="D3" s="66" t="s">
        <v>264</v>
      </c>
      <c r="E3" s="66" t="s">
        <v>265</v>
      </c>
      <c r="F3" s="66" t="s">
        <v>266</v>
      </c>
      <c r="G3" s="66" t="s">
        <v>675</v>
      </c>
      <c r="H3" s="66" t="s">
        <v>676</v>
      </c>
      <c r="I3" s="66" t="s">
        <v>219</v>
      </c>
      <c r="J3" s="67" t="n">
        <v>46057</v>
      </c>
      <c r="K3" s="67" t="n">
        <v>46078</v>
      </c>
      <c r="L3" s="67" t="n">
        <v>46132</v>
      </c>
      <c r="M3" s="66" t="n">
        <v>1</v>
      </c>
      <c r="N3" s="66" t="s">
        <v>106</v>
      </c>
      <c r="O3" s="66" t="s">
        <v>97</v>
      </c>
      <c r="P3" s="66" t="s">
        <v>268</v>
      </c>
    </row>
    <row r="4" customFormat="false" ht="15" hidden="false" customHeight="false" outlineLevel="0" collapsed="false">
      <c r="A4" s="66" t="s">
        <v>269</v>
      </c>
      <c r="B4" s="66" t="s">
        <v>270</v>
      </c>
      <c r="C4" s="66"/>
      <c r="D4" s="66" t="s">
        <v>271</v>
      </c>
      <c r="E4" s="66" t="s">
        <v>259</v>
      </c>
      <c r="F4" s="66" t="s">
        <v>272</v>
      </c>
      <c r="G4" s="66" t="s">
        <v>273</v>
      </c>
      <c r="H4" s="66" t="s">
        <v>195</v>
      </c>
      <c r="I4" s="66" t="s">
        <v>221</v>
      </c>
      <c r="J4" s="67" t="n">
        <v>46079</v>
      </c>
      <c r="K4" s="67" t="n">
        <v>46143</v>
      </c>
      <c r="L4" s="67" t="n">
        <v>46257</v>
      </c>
      <c r="M4" s="66" t="n">
        <v>6</v>
      </c>
      <c r="N4" s="66"/>
      <c r="O4" s="66" t="s">
        <v>105</v>
      </c>
      <c r="P4" s="66" t="s">
        <v>274</v>
      </c>
    </row>
    <row r="5" customFormat="false" ht="15" hidden="false" customHeight="false" outlineLevel="0" collapsed="false">
      <c r="A5" s="66" t="s">
        <v>275</v>
      </c>
      <c r="B5" s="66" t="s">
        <v>276</v>
      </c>
      <c r="C5" s="66" t="s">
        <v>207</v>
      </c>
      <c r="D5" s="66" t="s">
        <v>277</v>
      </c>
      <c r="E5" s="66" t="s">
        <v>278</v>
      </c>
      <c r="F5" s="66" t="s">
        <v>279</v>
      </c>
      <c r="G5" s="66" t="s">
        <v>280</v>
      </c>
      <c r="H5" s="66" t="s">
        <v>14</v>
      </c>
      <c r="I5" s="66" t="s">
        <v>220</v>
      </c>
      <c r="J5" s="67" t="n">
        <v>46233</v>
      </c>
      <c r="K5" s="67" t="n">
        <v>46248</v>
      </c>
      <c r="L5" s="67" t="n">
        <v>46287</v>
      </c>
      <c r="M5" s="66" t="n">
        <v>19</v>
      </c>
      <c r="N5" s="66" t="s">
        <v>64</v>
      </c>
      <c r="O5" s="66" t="s">
        <v>105</v>
      </c>
      <c r="P5" s="66" t="s">
        <v>281</v>
      </c>
    </row>
    <row r="6" customFormat="false" ht="15" hidden="false" customHeight="false" outlineLevel="0" collapsed="false">
      <c r="A6" s="66" t="s">
        <v>282</v>
      </c>
      <c r="B6" s="66" t="s">
        <v>283</v>
      </c>
      <c r="C6" s="66" t="s">
        <v>207</v>
      </c>
      <c r="D6" s="66" t="s">
        <v>284</v>
      </c>
      <c r="E6" s="66" t="s">
        <v>259</v>
      </c>
      <c r="F6" s="66" t="s">
        <v>285</v>
      </c>
      <c r="G6" s="66" t="s">
        <v>286</v>
      </c>
      <c r="H6" s="66" t="s">
        <v>193</v>
      </c>
      <c r="I6" s="66" t="s">
        <v>217</v>
      </c>
      <c r="J6" s="67" t="n">
        <v>46199</v>
      </c>
      <c r="K6" s="67" t="n">
        <v>46270</v>
      </c>
      <c r="L6" s="67" t="n">
        <v>46295</v>
      </c>
      <c r="M6" s="66" t="n">
        <v>8</v>
      </c>
      <c r="N6" s="66" t="s">
        <v>106</v>
      </c>
      <c r="O6" s="66" t="s">
        <v>229</v>
      </c>
      <c r="P6" s="66" t="s">
        <v>287</v>
      </c>
    </row>
    <row r="7" customFormat="false" ht="15" hidden="false" customHeight="false" outlineLevel="0" collapsed="false">
      <c r="A7" s="66" t="s">
        <v>288</v>
      </c>
      <c r="B7" s="66" t="s">
        <v>289</v>
      </c>
      <c r="C7" s="66" t="s">
        <v>207</v>
      </c>
      <c r="D7" s="66" t="s">
        <v>290</v>
      </c>
      <c r="E7" s="66" t="s">
        <v>259</v>
      </c>
      <c r="F7" s="66" t="s">
        <v>291</v>
      </c>
      <c r="G7" s="66" t="s">
        <v>292</v>
      </c>
      <c r="H7" s="66" t="s">
        <v>677</v>
      </c>
      <c r="I7" s="66" t="s">
        <v>221</v>
      </c>
      <c r="J7" s="66"/>
      <c r="K7" s="67" t="n">
        <v>46249</v>
      </c>
      <c r="L7" s="66"/>
      <c r="M7" s="66" t="n">
        <v>2</v>
      </c>
      <c r="N7" s="66"/>
      <c r="O7" s="66"/>
      <c r="P7" s="66" t="s">
        <v>293</v>
      </c>
    </row>
    <row r="8" customFormat="false" ht="15" hidden="false" customHeight="false" outlineLevel="0" collapsed="false">
      <c r="A8" s="66" t="s">
        <v>294</v>
      </c>
      <c r="B8" s="66" t="s">
        <v>295</v>
      </c>
      <c r="C8" s="66" t="s">
        <v>207</v>
      </c>
      <c r="D8" s="66" t="s">
        <v>296</v>
      </c>
      <c r="E8" s="66" t="s">
        <v>278</v>
      </c>
      <c r="F8" s="66" t="s">
        <v>297</v>
      </c>
      <c r="G8" s="66" t="s">
        <v>298</v>
      </c>
      <c r="H8" s="66" t="s">
        <v>14</v>
      </c>
      <c r="I8" s="66" t="s">
        <v>218</v>
      </c>
      <c r="J8" s="67" t="n">
        <v>45758</v>
      </c>
      <c r="K8" s="67" t="n">
        <v>46294</v>
      </c>
      <c r="L8" s="67" t="n">
        <v>46316</v>
      </c>
      <c r="M8" s="66"/>
      <c r="N8" s="66" t="s">
        <v>85</v>
      </c>
      <c r="O8" s="66" t="s">
        <v>228</v>
      </c>
      <c r="P8" s="66" t="s">
        <v>281</v>
      </c>
    </row>
    <row r="9" customFormat="false" ht="15" hidden="false" customHeight="false" outlineLevel="0" collapsed="false">
      <c r="A9" s="66" t="s">
        <v>299</v>
      </c>
      <c r="B9" s="66" t="s">
        <v>300</v>
      </c>
      <c r="C9" s="66" t="s">
        <v>207</v>
      </c>
      <c r="D9" s="66" t="s">
        <v>301</v>
      </c>
      <c r="E9" s="66" t="s">
        <v>278</v>
      </c>
      <c r="F9" s="66" t="s">
        <v>302</v>
      </c>
      <c r="G9" s="66" t="s">
        <v>303</v>
      </c>
      <c r="H9" s="66" t="s">
        <v>194</v>
      </c>
      <c r="I9" s="66" t="s">
        <v>218</v>
      </c>
      <c r="J9" s="67" t="n">
        <v>46204</v>
      </c>
      <c r="K9" s="67" t="n">
        <v>46280</v>
      </c>
      <c r="L9" s="66"/>
      <c r="M9" s="66"/>
      <c r="N9" s="66"/>
      <c r="O9" s="66" t="s">
        <v>229</v>
      </c>
      <c r="P9" s="66" t="s">
        <v>304</v>
      </c>
    </row>
    <row r="10" customFormat="false" ht="15" hidden="false" customHeight="false" outlineLevel="0" collapsed="false">
      <c r="A10" s="66" t="s">
        <v>305</v>
      </c>
      <c r="B10" s="66" t="s">
        <v>306</v>
      </c>
      <c r="C10" s="66" t="s">
        <v>207</v>
      </c>
      <c r="D10" s="66" t="s">
        <v>307</v>
      </c>
      <c r="E10" s="66" t="s">
        <v>308</v>
      </c>
      <c r="F10" s="66"/>
      <c r="G10" s="66" t="s">
        <v>309</v>
      </c>
      <c r="H10" s="66" t="s">
        <v>677</v>
      </c>
      <c r="I10" s="66"/>
      <c r="J10" s="66"/>
      <c r="K10" s="66"/>
      <c r="L10" s="66"/>
      <c r="M10" s="66" t="n">
        <v>0</v>
      </c>
      <c r="N10" s="66"/>
      <c r="O10" s="66"/>
      <c r="P10" s="66" t="s">
        <v>262</v>
      </c>
    </row>
    <row r="11" customFormat="false" ht="15" hidden="false" customHeight="false" outlineLevel="0" collapsed="false">
      <c r="A11" s="66" t="s">
        <v>310</v>
      </c>
      <c r="B11" s="66" t="s">
        <v>311</v>
      </c>
      <c r="C11" s="66" t="s">
        <v>207</v>
      </c>
      <c r="D11" s="66" t="s">
        <v>312</v>
      </c>
      <c r="E11" s="66" t="s">
        <v>265</v>
      </c>
      <c r="F11" s="66" t="s">
        <v>313</v>
      </c>
      <c r="G11" s="66" t="s">
        <v>314</v>
      </c>
      <c r="H11" s="66" t="s">
        <v>676</v>
      </c>
      <c r="I11" s="66" t="s">
        <v>220</v>
      </c>
      <c r="J11" s="67" t="n">
        <v>46005</v>
      </c>
      <c r="K11" s="66"/>
      <c r="L11" s="66"/>
      <c r="M11" s="66" t="n">
        <v>2</v>
      </c>
      <c r="N11" s="66" t="s">
        <v>85</v>
      </c>
      <c r="O11" s="66" t="s">
        <v>228</v>
      </c>
      <c r="P11" s="66" t="s">
        <v>315</v>
      </c>
    </row>
    <row r="12" customFormat="false" ht="15" hidden="false" customHeight="false" outlineLevel="0" collapsed="false">
      <c r="A12" s="66" t="s">
        <v>316</v>
      </c>
      <c r="B12" s="66" t="s">
        <v>317</v>
      </c>
      <c r="C12" s="66" t="s">
        <v>207</v>
      </c>
      <c r="D12" s="66" t="s">
        <v>318</v>
      </c>
      <c r="E12" s="66" t="s">
        <v>308</v>
      </c>
      <c r="F12" s="66" t="s">
        <v>319</v>
      </c>
      <c r="G12" s="66" t="s">
        <v>320</v>
      </c>
      <c r="H12" s="66" t="s">
        <v>195</v>
      </c>
      <c r="I12" s="66" t="s">
        <v>219</v>
      </c>
      <c r="J12" s="66" t="s">
        <v>678</v>
      </c>
      <c r="K12" s="67" t="n">
        <v>46233</v>
      </c>
      <c r="L12" s="67" t="n">
        <v>46310</v>
      </c>
      <c r="M12" s="66" t="n">
        <v>2</v>
      </c>
      <c r="N12" s="66" t="s">
        <v>106</v>
      </c>
      <c r="O12" s="66" t="s">
        <v>97</v>
      </c>
      <c r="P12" s="66" t="s">
        <v>321</v>
      </c>
    </row>
    <row r="13" customFormat="false" ht="15" hidden="false" customHeight="false" outlineLevel="0" collapsed="false">
      <c r="A13" s="66" t="s">
        <v>41</v>
      </c>
      <c r="B13" s="66" t="s">
        <v>322</v>
      </c>
      <c r="C13" s="66" t="s">
        <v>207</v>
      </c>
      <c r="D13" s="66" t="s">
        <v>323</v>
      </c>
      <c r="E13" s="66" t="s">
        <v>324</v>
      </c>
      <c r="F13" s="66" t="s">
        <v>325</v>
      </c>
      <c r="G13" s="66" t="s">
        <v>326</v>
      </c>
      <c r="H13" s="66" t="s">
        <v>194</v>
      </c>
      <c r="I13" s="66" t="s">
        <v>220</v>
      </c>
      <c r="J13" s="67" t="n">
        <v>46096</v>
      </c>
      <c r="K13" s="67" t="n">
        <v>46195</v>
      </c>
      <c r="L13" s="67" t="n">
        <v>46215</v>
      </c>
      <c r="M13" s="66" t="n">
        <v>6</v>
      </c>
      <c r="N13" s="66" t="s">
        <v>85</v>
      </c>
      <c r="O13" s="66" t="s">
        <v>97</v>
      </c>
      <c r="P13" s="66" t="s">
        <v>327</v>
      </c>
    </row>
    <row r="14" customFormat="false" ht="15" hidden="false" customHeight="false" outlineLevel="0" collapsed="false">
      <c r="A14" s="66" t="s">
        <v>328</v>
      </c>
      <c r="B14" s="66" t="s">
        <v>329</v>
      </c>
      <c r="C14" s="66" t="s">
        <v>207</v>
      </c>
      <c r="D14" s="66" t="s">
        <v>330</v>
      </c>
      <c r="E14" s="66" t="s">
        <v>324</v>
      </c>
      <c r="F14" s="66" t="s">
        <v>331</v>
      </c>
      <c r="G14" s="66" t="s">
        <v>332</v>
      </c>
      <c r="H14" s="66" t="s">
        <v>193</v>
      </c>
      <c r="I14" s="66" t="s">
        <v>222</v>
      </c>
      <c r="J14" s="67" t="n">
        <v>45696</v>
      </c>
      <c r="K14" s="67" t="n">
        <v>46289</v>
      </c>
      <c r="L14" s="67" t="n">
        <v>46321</v>
      </c>
      <c r="M14" s="66" t="n">
        <v>5</v>
      </c>
      <c r="N14" s="66" t="s">
        <v>85</v>
      </c>
      <c r="O14" s="66" t="s">
        <v>97</v>
      </c>
      <c r="P14" s="66" t="s">
        <v>287</v>
      </c>
    </row>
    <row r="15" customFormat="false" ht="15" hidden="false" customHeight="false" outlineLevel="0" collapsed="false">
      <c r="A15" s="66" t="s">
        <v>333</v>
      </c>
      <c r="B15" s="66" t="s">
        <v>334</v>
      </c>
      <c r="C15" s="66" t="s">
        <v>207</v>
      </c>
      <c r="D15" s="66" t="s">
        <v>335</v>
      </c>
      <c r="E15" s="66" t="s">
        <v>336</v>
      </c>
      <c r="F15" s="66" t="s">
        <v>337</v>
      </c>
      <c r="G15" s="66" t="s">
        <v>338</v>
      </c>
      <c r="H15" s="66" t="s">
        <v>194</v>
      </c>
      <c r="I15" s="66" t="s">
        <v>220</v>
      </c>
      <c r="J15" s="67" t="n">
        <v>45917</v>
      </c>
      <c r="K15" s="67" t="n">
        <v>46383</v>
      </c>
      <c r="L15" s="66"/>
      <c r="M15" s="66" t="n">
        <v>8</v>
      </c>
      <c r="N15" s="66" t="s">
        <v>85</v>
      </c>
      <c r="O15" s="66" t="s">
        <v>105</v>
      </c>
      <c r="P15" s="66" t="s">
        <v>327</v>
      </c>
    </row>
    <row r="16" customFormat="false" ht="15" hidden="false" customHeight="false" outlineLevel="0" collapsed="false">
      <c r="A16" s="66" t="s">
        <v>339</v>
      </c>
      <c r="B16" s="66" t="s">
        <v>679</v>
      </c>
      <c r="C16" s="66" t="s">
        <v>680</v>
      </c>
      <c r="D16" s="66" t="s">
        <v>341</v>
      </c>
      <c r="E16" s="66" t="s">
        <v>259</v>
      </c>
      <c r="F16" s="66" t="s">
        <v>342</v>
      </c>
      <c r="G16" s="66" t="s">
        <v>343</v>
      </c>
      <c r="H16" s="66" t="s">
        <v>193</v>
      </c>
      <c r="I16" s="66" t="s">
        <v>222</v>
      </c>
      <c r="J16" s="67" t="n">
        <v>45729</v>
      </c>
      <c r="K16" s="67" t="n">
        <v>46269</v>
      </c>
      <c r="L16" s="67" t="n">
        <v>46323</v>
      </c>
      <c r="M16" s="66" t="n">
        <v>6</v>
      </c>
      <c r="N16" s="66" t="s">
        <v>64</v>
      </c>
      <c r="O16" s="66" t="s">
        <v>229</v>
      </c>
      <c r="P16" s="66" t="s">
        <v>344</v>
      </c>
    </row>
    <row r="17" customFormat="false" ht="15" hidden="false" customHeight="false" outlineLevel="0" collapsed="false">
      <c r="A17" s="66" t="s">
        <v>345</v>
      </c>
      <c r="B17" s="66" t="s">
        <v>346</v>
      </c>
      <c r="C17" s="66" t="s">
        <v>207</v>
      </c>
      <c r="D17" s="66" t="s">
        <v>347</v>
      </c>
      <c r="E17" s="66" t="s">
        <v>348</v>
      </c>
      <c r="F17" s="66" t="s">
        <v>349</v>
      </c>
      <c r="G17" s="66"/>
      <c r="H17" s="66" t="s">
        <v>192</v>
      </c>
      <c r="I17" s="66" t="s">
        <v>222</v>
      </c>
      <c r="J17" s="67" t="n">
        <v>45829</v>
      </c>
      <c r="K17" s="67" t="n">
        <v>46299</v>
      </c>
      <c r="L17" s="66"/>
      <c r="M17" s="66" t="n">
        <v>2</v>
      </c>
      <c r="N17" s="66" t="s">
        <v>106</v>
      </c>
      <c r="O17" s="66" t="s">
        <v>229</v>
      </c>
      <c r="P17" s="66" t="s">
        <v>350</v>
      </c>
    </row>
    <row r="18" customFormat="false" ht="15" hidden="false" customHeight="false" outlineLevel="0" collapsed="false">
      <c r="A18" s="66" t="s">
        <v>351</v>
      </c>
      <c r="B18" s="66" t="s">
        <v>352</v>
      </c>
      <c r="C18" s="66"/>
      <c r="D18" s="66" t="s">
        <v>353</v>
      </c>
      <c r="E18" s="66" t="s">
        <v>324</v>
      </c>
      <c r="F18" s="66" t="s">
        <v>354</v>
      </c>
      <c r="G18" s="66" t="s">
        <v>355</v>
      </c>
      <c r="H18" s="66" t="s">
        <v>21</v>
      </c>
      <c r="I18" s="66" t="s">
        <v>218</v>
      </c>
      <c r="J18" s="66"/>
      <c r="K18" s="66"/>
      <c r="L18" s="66"/>
      <c r="M18" s="66" t="n">
        <v>0</v>
      </c>
      <c r="N18" s="66"/>
      <c r="O18" s="66"/>
      <c r="P18" s="66" t="s">
        <v>262</v>
      </c>
    </row>
    <row r="19" customFormat="false" ht="15" hidden="false" customHeight="false" outlineLevel="0" collapsed="false">
      <c r="A19" s="66" t="s">
        <v>37</v>
      </c>
      <c r="B19" s="66" t="s">
        <v>356</v>
      </c>
      <c r="C19" s="66" t="s">
        <v>207</v>
      </c>
      <c r="D19" s="66" t="s">
        <v>357</v>
      </c>
      <c r="E19" s="66" t="s">
        <v>348</v>
      </c>
      <c r="F19" s="66" t="s">
        <v>358</v>
      </c>
      <c r="G19" s="66" t="s">
        <v>359</v>
      </c>
      <c r="H19" s="66" t="s">
        <v>193</v>
      </c>
      <c r="I19" s="66" t="s">
        <v>220</v>
      </c>
      <c r="J19" s="67" t="n">
        <v>45681</v>
      </c>
      <c r="K19" s="67" t="n">
        <v>46087</v>
      </c>
      <c r="L19" s="67" t="n">
        <v>46128</v>
      </c>
      <c r="M19" s="66" t="n">
        <v>0</v>
      </c>
      <c r="N19" s="66" t="s">
        <v>85</v>
      </c>
      <c r="O19" s="66" t="s">
        <v>105</v>
      </c>
      <c r="P19" s="66" t="s">
        <v>360</v>
      </c>
    </row>
    <row r="20" customFormat="false" ht="15" hidden="false" customHeight="false" outlineLevel="0" collapsed="false">
      <c r="A20" s="66" t="s">
        <v>361</v>
      </c>
      <c r="B20" s="66" t="s">
        <v>681</v>
      </c>
      <c r="C20" s="66" t="s">
        <v>680</v>
      </c>
      <c r="D20" s="66" t="s">
        <v>363</v>
      </c>
      <c r="E20" s="66" t="s">
        <v>348</v>
      </c>
      <c r="F20" s="66" t="s">
        <v>364</v>
      </c>
      <c r="G20" s="66" t="s">
        <v>365</v>
      </c>
      <c r="H20" s="66" t="s">
        <v>195</v>
      </c>
      <c r="I20" s="66" t="s">
        <v>217</v>
      </c>
      <c r="J20" s="67" t="n">
        <v>46168</v>
      </c>
      <c r="K20" s="67" t="n">
        <v>46273</v>
      </c>
      <c r="L20" s="67" t="n">
        <v>46379</v>
      </c>
      <c r="M20" s="66" t="n">
        <v>4</v>
      </c>
      <c r="N20" s="66" t="s">
        <v>106</v>
      </c>
      <c r="O20" s="66" t="s">
        <v>228</v>
      </c>
      <c r="P20" s="66" t="s">
        <v>274</v>
      </c>
    </row>
    <row r="21" customFormat="false" ht="15" hidden="false" customHeight="false" outlineLevel="0" collapsed="false">
      <c r="A21" s="66" t="s">
        <v>35</v>
      </c>
      <c r="B21" s="66" t="s">
        <v>682</v>
      </c>
      <c r="C21" s="66" t="s">
        <v>207</v>
      </c>
      <c r="D21" s="66" t="s">
        <v>290</v>
      </c>
      <c r="E21" s="66" t="s">
        <v>336</v>
      </c>
      <c r="F21" s="66" t="s">
        <v>367</v>
      </c>
      <c r="G21" s="66" t="s">
        <v>368</v>
      </c>
      <c r="H21" s="66" t="s">
        <v>14</v>
      </c>
      <c r="I21" s="66" t="s">
        <v>221</v>
      </c>
      <c r="J21" s="67" t="n">
        <v>46002</v>
      </c>
      <c r="K21" s="67" t="n">
        <v>46083</v>
      </c>
      <c r="L21" s="67" t="n">
        <v>46122</v>
      </c>
      <c r="M21" s="66" t="n">
        <v>18</v>
      </c>
      <c r="N21" s="66" t="s">
        <v>64</v>
      </c>
      <c r="O21" s="66" t="s">
        <v>228</v>
      </c>
      <c r="P21" s="66" t="s">
        <v>281</v>
      </c>
    </row>
    <row r="22" customFormat="false" ht="15" hidden="false" customHeight="false" outlineLevel="0" collapsed="false">
      <c r="A22" s="66" t="s">
        <v>369</v>
      </c>
      <c r="B22" s="66" t="s">
        <v>683</v>
      </c>
      <c r="C22" s="66"/>
      <c r="D22" s="66" t="s">
        <v>371</v>
      </c>
      <c r="E22" s="66" t="s">
        <v>259</v>
      </c>
      <c r="F22" s="66" t="s">
        <v>372</v>
      </c>
      <c r="G22" s="66" t="s">
        <v>373</v>
      </c>
      <c r="H22" s="66" t="s">
        <v>194</v>
      </c>
      <c r="I22" s="66" t="s">
        <v>220</v>
      </c>
      <c r="J22" s="67" t="n">
        <v>45820</v>
      </c>
      <c r="K22" s="67" t="n">
        <v>46252</v>
      </c>
      <c r="L22" s="67" t="n">
        <v>46280</v>
      </c>
      <c r="M22" s="66" t="n">
        <v>8</v>
      </c>
      <c r="N22" s="66" t="s">
        <v>85</v>
      </c>
      <c r="O22" s="66" t="s">
        <v>227</v>
      </c>
      <c r="P22" s="66" t="s">
        <v>327</v>
      </c>
    </row>
    <row r="23" customFormat="false" ht="15" hidden="false" customHeight="false" outlineLevel="0" collapsed="false">
      <c r="A23" s="66" t="s">
        <v>374</v>
      </c>
      <c r="B23" s="66" t="s">
        <v>684</v>
      </c>
      <c r="C23" s="66" t="s">
        <v>208</v>
      </c>
      <c r="D23" s="66" t="s">
        <v>376</v>
      </c>
      <c r="E23" s="66" t="s">
        <v>308</v>
      </c>
      <c r="F23" s="66" t="s">
        <v>377</v>
      </c>
      <c r="G23" s="66" t="s">
        <v>378</v>
      </c>
      <c r="H23" s="66" t="s">
        <v>14</v>
      </c>
      <c r="I23" s="66" t="s">
        <v>218</v>
      </c>
      <c r="J23" s="67" t="n">
        <v>45945</v>
      </c>
      <c r="K23" s="67" t="n">
        <v>46253</v>
      </c>
      <c r="L23" s="67" t="n">
        <v>46275</v>
      </c>
      <c r="M23" s="66" t="n">
        <v>0</v>
      </c>
      <c r="N23" s="66"/>
      <c r="O23" s="66" t="s">
        <v>227</v>
      </c>
      <c r="P23" s="66" t="s">
        <v>379</v>
      </c>
    </row>
    <row r="24" customFormat="false" ht="15" hidden="false" customHeight="false" outlineLevel="0" collapsed="false">
      <c r="A24" s="66" t="s">
        <v>380</v>
      </c>
      <c r="B24" s="66" t="s">
        <v>381</v>
      </c>
      <c r="C24" s="66" t="s">
        <v>208</v>
      </c>
      <c r="D24" s="66" t="s">
        <v>347</v>
      </c>
      <c r="E24" s="66" t="s">
        <v>308</v>
      </c>
      <c r="F24" s="66" t="s">
        <v>382</v>
      </c>
      <c r="G24" s="66" t="s">
        <v>383</v>
      </c>
      <c r="H24" s="66" t="s">
        <v>14</v>
      </c>
      <c r="I24" s="66" t="s">
        <v>218</v>
      </c>
      <c r="J24" s="67" t="n">
        <v>45769</v>
      </c>
      <c r="K24" s="67" t="n">
        <v>46292</v>
      </c>
      <c r="L24" s="67" t="n">
        <v>46335</v>
      </c>
      <c r="M24" s="66" t="n">
        <v>8</v>
      </c>
      <c r="N24" s="66" t="s">
        <v>64</v>
      </c>
      <c r="O24" s="66" t="s">
        <v>97</v>
      </c>
      <c r="P24" s="66" t="s">
        <v>384</v>
      </c>
    </row>
    <row r="25" customFormat="false" ht="15" hidden="false" customHeight="false" outlineLevel="0" collapsed="false">
      <c r="A25" s="66" t="s">
        <v>36</v>
      </c>
      <c r="B25" s="66" t="s">
        <v>385</v>
      </c>
      <c r="C25" s="66" t="s">
        <v>208</v>
      </c>
      <c r="D25" s="66" t="s">
        <v>386</v>
      </c>
      <c r="E25" s="66" t="s">
        <v>278</v>
      </c>
      <c r="F25" s="66" t="s">
        <v>387</v>
      </c>
      <c r="G25" s="66" t="s">
        <v>388</v>
      </c>
      <c r="H25" s="66" t="s">
        <v>192</v>
      </c>
      <c r="I25" s="66"/>
      <c r="J25" s="67" t="n">
        <v>46172</v>
      </c>
      <c r="K25" s="67" t="n">
        <v>46173</v>
      </c>
      <c r="L25" s="67" t="n">
        <v>46228</v>
      </c>
      <c r="M25" s="66" t="n">
        <v>2</v>
      </c>
      <c r="N25" s="66" t="s">
        <v>85</v>
      </c>
      <c r="O25" s="66" t="s">
        <v>227</v>
      </c>
      <c r="P25" s="66" t="s">
        <v>268</v>
      </c>
    </row>
    <row r="26" customFormat="false" ht="15" hidden="false" customHeight="false" outlineLevel="0" collapsed="false">
      <c r="A26" s="66" t="s">
        <v>389</v>
      </c>
      <c r="B26" s="66" t="s">
        <v>390</v>
      </c>
      <c r="C26" s="66" t="s">
        <v>208</v>
      </c>
      <c r="D26" s="66" t="s">
        <v>685</v>
      </c>
      <c r="E26" s="66" t="s">
        <v>278</v>
      </c>
      <c r="F26" s="66" t="s">
        <v>392</v>
      </c>
      <c r="G26" s="66" t="s">
        <v>393</v>
      </c>
      <c r="H26" s="66" t="s">
        <v>192</v>
      </c>
      <c r="I26" s="66" t="s">
        <v>219</v>
      </c>
      <c r="J26" s="67" t="n">
        <v>45997</v>
      </c>
      <c r="K26" s="67" t="n">
        <v>46246</v>
      </c>
      <c r="L26" s="67" t="n">
        <v>46271</v>
      </c>
      <c r="M26" s="66" t="n">
        <v>1</v>
      </c>
      <c r="N26" s="66" t="s">
        <v>85</v>
      </c>
      <c r="O26" s="66" t="s">
        <v>227</v>
      </c>
      <c r="P26" s="66" t="s">
        <v>350</v>
      </c>
    </row>
    <row r="27" customFormat="false" ht="15" hidden="false" customHeight="false" outlineLevel="0" collapsed="false">
      <c r="A27" s="66" t="s">
        <v>394</v>
      </c>
      <c r="B27" s="66" t="s">
        <v>395</v>
      </c>
      <c r="C27" s="66" t="s">
        <v>208</v>
      </c>
      <c r="D27" s="66" t="s">
        <v>396</v>
      </c>
      <c r="E27" s="66" t="s">
        <v>259</v>
      </c>
      <c r="F27" s="66" t="s">
        <v>397</v>
      </c>
      <c r="G27" s="66" t="s">
        <v>398</v>
      </c>
      <c r="H27" s="66" t="s">
        <v>196</v>
      </c>
      <c r="I27" s="66" t="s">
        <v>222</v>
      </c>
      <c r="J27" s="67" t="n">
        <v>45811</v>
      </c>
      <c r="K27" s="67" t="n">
        <v>46216</v>
      </c>
      <c r="L27" s="66"/>
      <c r="M27" s="66" t="n">
        <v>2</v>
      </c>
      <c r="N27" s="66" t="s">
        <v>106</v>
      </c>
      <c r="O27" s="66" t="s">
        <v>97</v>
      </c>
      <c r="P27" s="66" t="s">
        <v>399</v>
      </c>
    </row>
    <row r="28" customFormat="false" ht="15" hidden="false" customHeight="false" outlineLevel="0" collapsed="false">
      <c r="A28" s="66" t="s">
        <v>400</v>
      </c>
      <c r="B28" s="66" t="s">
        <v>401</v>
      </c>
      <c r="C28" s="66" t="s">
        <v>208</v>
      </c>
      <c r="D28" s="66" t="s">
        <v>402</v>
      </c>
      <c r="E28" s="66" t="s">
        <v>308</v>
      </c>
      <c r="F28" s="66" t="s">
        <v>403</v>
      </c>
      <c r="G28" s="66" t="s">
        <v>404</v>
      </c>
      <c r="H28" s="66" t="s">
        <v>14</v>
      </c>
      <c r="I28" s="66" t="s">
        <v>219</v>
      </c>
      <c r="J28" s="67" t="n">
        <v>46140</v>
      </c>
      <c r="K28" s="67" t="n">
        <v>46277</v>
      </c>
      <c r="L28" s="67" t="n">
        <v>46294</v>
      </c>
      <c r="M28" s="66" t="n">
        <v>12</v>
      </c>
      <c r="N28" s="66" t="s">
        <v>64</v>
      </c>
      <c r="O28" s="66" t="s">
        <v>228</v>
      </c>
      <c r="P28" s="66" t="s">
        <v>405</v>
      </c>
    </row>
    <row r="29" customFormat="false" ht="15" hidden="false" customHeight="false" outlineLevel="0" collapsed="false">
      <c r="A29" s="66" t="s">
        <v>406</v>
      </c>
      <c r="B29" s="66" t="s">
        <v>407</v>
      </c>
      <c r="C29" s="66" t="s">
        <v>208</v>
      </c>
      <c r="D29" s="66" t="s">
        <v>408</v>
      </c>
      <c r="E29" s="66" t="s">
        <v>265</v>
      </c>
      <c r="F29" s="66" t="s">
        <v>409</v>
      </c>
      <c r="G29" s="66" t="s">
        <v>410</v>
      </c>
      <c r="H29" s="66" t="s">
        <v>21</v>
      </c>
      <c r="I29" s="66" t="s">
        <v>221</v>
      </c>
      <c r="J29" s="66"/>
      <c r="K29" s="67" t="n">
        <v>46199</v>
      </c>
      <c r="L29" s="66"/>
      <c r="M29" s="66" t="n">
        <v>1</v>
      </c>
      <c r="N29" s="66"/>
      <c r="O29" s="66"/>
      <c r="P29" s="66" t="s">
        <v>293</v>
      </c>
    </row>
    <row r="30" customFormat="false" ht="15" hidden="false" customHeight="false" outlineLevel="0" collapsed="false">
      <c r="A30" s="66" t="s">
        <v>411</v>
      </c>
      <c r="B30" s="66" t="s">
        <v>412</v>
      </c>
      <c r="C30" s="66" t="s">
        <v>208</v>
      </c>
      <c r="D30" s="66" t="s">
        <v>413</v>
      </c>
      <c r="E30" s="66" t="s">
        <v>308</v>
      </c>
      <c r="F30" s="66" t="s">
        <v>414</v>
      </c>
      <c r="G30" s="66" t="s">
        <v>415</v>
      </c>
      <c r="H30" s="66" t="s">
        <v>193</v>
      </c>
      <c r="I30" s="66" t="s">
        <v>220</v>
      </c>
      <c r="J30" s="67" t="n">
        <v>46053</v>
      </c>
      <c r="K30" s="67" t="n">
        <v>46272</v>
      </c>
      <c r="L30" s="67" t="n">
        <v>46313</v>
      </c>
      <c r="M30" s="66" t="n">
        <v>6</v>
      </c>
      <c r="N30" s="66" t="s">
        <v>85</v>
      </c>
      <c r="O30" s="66" t="s">
        <v>97</v>
      </c>
      <c r="P30" s="66" t="s">
        <v>360</v>
      </c>
    </row>
    <row r="31" customFormat="false" ht="15" hidden="false" customHeight="false" outlineLevel="0" collapsed="false">
      <c r="A31" s="66" t="s">
        <v>416</v>
      </c>
      <c r="B31" s="66" t="s">
        <v>417</v>
      </c>
      <c r="C31" s="66" t="s">
        <v>208</v>
      </c>
      <c r="D31" s="66" t="s">
        <v>418</v>
      </c>
      <c r="E31" s="66" t="s">
        <v>348</v>
      </c>
      <c r="F31" s="66" t="s">
        <v>419</v>
      </c>
      <c r="G31" s="66" t="s">
        <v>420</v>
      </c>
      <c r="H31" s="66" t="s">
        <v>686</v>
      </c>
      <c r="I31" s="66" t="s">
        <v>220</v>
      </c>
      <c r="J31" s="67" t="n">
        <v>46232</v>
      </c>
      <c r="K31" s="67" t="n">
        <v>46241</v>
      </c>
      <c r="L31" s="67" t="n">
        <v>46348</v>
      </c>
      <c r="M31" s="66" t="n">
        <v>6</v>
      </c>
      <c r="N31" s="66" t="s">
        <v>106</v>
      </c>
      <c r="O31" s="66" t="s">
        <v>228</v>
      </c>
      <c r="P31" s="66" t="s">
        <v>421</v>
      </c>
    </row>
    <row r="32" customFormat="false" ht="15" hidden="false" customHeight="false" outlineLevel="0" collapsed="false">
      <c r="A32" s="66" t="s">
        <v>422</v>
      </c>
      <c r="B32" s="66" t="s">
        <v>423</v>
      </c>
      <c r="C32" s="66" t="s">
        <v>208</v>
      </c>
      <c r="D32" s="66" t="s">
        <v>424</v>
      </c>
      <c r="E32" s="66" t="s">
        <v>336</v>
      </c>
      <c r="F32" s="66" t="s">
        <v>425</v>
      </c>
      <c r="G32" s="66" t="s">
        <v>426</v>
      </c>
      <c r="H32" s="66" t="s">
        <v>194</v>
      </c>
      <c r="I32" s="66" t="s">
        <v>219</v>
      </c>
      <c r="J32" s="67" t="n">
        <v>46210</v>
      </c>
      <c r="K32" s="67" t="n">
        <v>46218</v>
      </c>
      <c r="L32" s="67" t="n">
        <v>46250</v>
      </c>
      <c r="M32" s="66" t="n">
        <v>8</v>
      </c>
      <c r="N32" s="66"/>
      <c r="O32" s="66" t="s">
        <v>105</v>
      </c>
      <c r="P32" s="66" t="s">
        <v>427</v>
      </c>
    </row>
    <row r="33" customFormat="false" ht="15" hidden="false" customHeight="false" outlineLevel="0" collapsed="false">
      <c r="A33" s="66" t="s">
        <v>428</v>
      </c>
      <c r="B33" s="66" t="s">
        <v>429</v>
      </c>
      <c r="C33" s="66" t="s">
        <v>208</v>
      </c>
      <c r="D33" s="66" t="s">
        <v>430</v>
      </c>
      <c r="E33" s="66" t="s">
        <v>324</v>
      </c>
      <c r="F33" s="66" t="s">
        <v>431</v>
      </c>
      <c r="G33" s="66" t="s">
        <v>432</v>
      </c>
      <c r="H33" s="66" t="s">
        <v>193</v>
      </c>
      <c r="I33" s="66" t="s">
        <v>222</v>
      </c>
      <c r="J33" s="67" t="n">
        <v>46205</v>
      </c>
      <c r="K33" s="66"/>
      <c r="L33" s="67" t="n">
        <v>46307</v>
      </c>
      <c r="M33" s="66" t="n">
        <v>5</v>
      </c>
      <c r="N33" s="66" t="s">
        <v>85</v>
      </c>
      <c r="O33" s="66" t="s">
        <v>105</v>
      </c>
      <c r="P33" s="66" t="s">
        <v>433</v>
      </c>
    </row>
    <row r="34" customFormat="false" ht="15" hidden="false" customHeight="false" outlineLevel="0" collapsed="false">
      <c r="A34" s="66" t="s">
        <v>434</v>
      </c>
      <c r="B34" s="66" t="s">
        <v>435</v>
      </c>
      <c r="C34" s="66" t="s">
        <v>208</v>
      </c>
      <c r="D34" s="66" t="s">
        <v>436</v>
      </c>
      <c r="E34" s="66" t="s">
        <v>324</v>
      </c>
      <c r="F34" s="66" t="s">
        <v>437</v>
      </c>
      <c r="G34" s="66" t="s">
        <v>438</v>
      </c>
      <c r="H34" s="66" t="s">
        <v>687</v>
      </c>
      <c r="I34" s="66" t="s">
        <v>220</v>
      </c>
      <c r="J34" s="67" t="n">
        <v>46065</v>
      </c>
      <c r="K34" s="67" t="n">
        <v>46236</v>
      </c>
      <c r="L34" s="66" t="s">
        <v>688</v>
      </c>
      <c r="M34" s="66" t="n">
        <v>5</v>
      </c>
      <c r="N34" s="66" t="s">
        <v>85</v>
      </c>
      <c r="O34" s="66" t="s">
        <v>227</v>
      </c>
      <c r="P34" s="66" t="s">
        <v>360</v>
      </c>
    </row>
    <row r="35" customFormat="false" ht="15" hidden="false" customHeight="false" outlineLevel="0" collapsed="false">
      <c r="A35" s="66" t="s">
        <v>439</v>
      </c>
      <c r="B35" s="66" t="s">
        <v>440</v>
      </c>
      <c r="C35" s="66" t="s">
        <v>208</v>
      </c>
      <c r="D35" s="66" t="s">
        <v>441</v>
      </c>
      <c r="E35" s="66" t="s">
        <v>259</v>
      </c>
      <c r="F35" s="66" t="s">
        <v>442</v>
      </c>
      <c r="G35" s="66" t="s">
        <v>443</v>
      </c>
      <c r="H35" s="66" t="s">
        <v>193</v>
      </c>
      <c r="I35" s="66"/>
      <c r="J35" s="67" t="n">
        <v>46097</v>
      </c>
      <c r="K35" s="67" t="n">
        <v>46299</v>
      </c>
      <c r="L35" s="67" t="n">
        <v>46328</v>
      </c>
      <c r="M35" s="66" t="n">
        <v>3</v>
      </c>
      <c r="N35" s="66" t="s">
        <v>106</v>
      </c>
      <c r="O35" s="66" t="s">
        <v>97</v>
      </c>
      <c r="P35" s="66" t="s">
        <v>379</v>
      </c>
    </row>
    <row r="36" customFormat="false" ht="15" hidden="false" customHeight="false" outlineLevel="0" collapsed="false">
      <c r="A36" s="66" t="s">
        <v>444</v>
      </c>
      <c r="B36" s="66" t="s">
        <v>689</v>
      </c>
      <c r="C36" s="66" t="s">
        <v>209</v>
      </c>
      <c r="D36" s="66" t="s">
        <v>446</v>
      </c>
      <c r="E36" s="66" t="s">
        <v>308</v>
      </c>
      <c r="F36" s="66" t="s">
        <v>447</v>
      </c>
      <c r="G36" s="66" t="s">
        <v>448</v>
      </c>
      <c r="H36" s="66" t="s">
        <v>690</v>
      </c>
      <c r="I36" s="66" t="s">
        <v>222</v>
      </c>
      <c r="J36" s="67" t="n">
        <v>45720</v>
      </c>
      <c r="K36" s="67" t="n">
        <v>46294</v>
      </c>
      <c r="L36" s="67" t="n">
        <v>46395</v>
      </c>
      <c r="M36" s="66" t="n">
        <v>4</v>
      </c>
      <c r="N36" s="66" t="s">
        <v>106</v>
      </c>
      <c r="O36" s="66" t="s">
        <v>97</v>
      </c>
      <c r="P36" s="66" t="s">
        <v>274</v>
      </c>
    </row>
    <row r="37" customFormat="false" ht="15" hidden="false" customHeight="false" outlineLevel="0" collapsed="false">
      <c r="A37" s="66" t="s">
        <v>449</v>
      </c>
      <c r="B37" s="66" t="s">
        <v>450</v>
      </c>
      <c r="C37" s="66" t="s">
        <v>691</v>
      </c>
      <c r="D37" s="66" t="s">
        <v>451</v>
      </c>
      <c r="E37" s="66" t="s">
        <v>324</v>
      </c>
      <c r="F37" s="66" t="s">
        <v>452</v>
      </c>
      <c r="G37" s="66" t="s">
        <v>453</v>
      </c>
      <c r="H37" s="66" t="s">
        <v>194</v>
      </c>
      <c r="I37" s="66" t="s">
        <v>218</v>
      </c>
      <c r="J37" s="67" t="n">
        <v>45687</v>
      </c>
      <c r="K37" s="67" t="n">
        <v>46282</v>
      </c>
      <c r="L37" s="67" t="n">
        <v>46301</v>
      </c>
      <c r="M37" s="66" t="n">
        <v>8</v>
      </c>
      <c r="N37" s="66" t="s">
        <v>64</v>
      </c>
      <c r="O37" s="66" t="s">
        <v>229</v>
      </c>
      <c r="P37" s="66" t="s">
        <v>304</v>
      </c>
    </row>
    <row r="38" customFormat="false" ht="15" hidden="false" customHeight="false" outlineLevel="0" collapsed="false">
      <c r="A38" s="66" t="s">
        <v>454</v>
      </c>
      <c r="B38" s="66" t="s">
        <v>455</v>
      </c>
      <c r="C38" s="66" t="s">
        <v>209</v>
      </c>
      <c r="D38" s="66" t="s">
        <v>456</v>
      </c>
      <c r="E38" s="66" t="s">
        <v>348</v>
      </c>
      <c r="F38" s="66" t="s">
        <v>457</v>
      </c>
      <c r="G38" s="66" t="s">
        <v>458</v>
      </c>
      <c r="H38" s="66" t="s">
        <v>14</v>
      </c>
      <c r="I38" s="66" t="s">
        <v>220</v>
      </c>
      <c r="J38" s="67" t="n">
        <v>45814</v>
      </c>
      <c r="K38" s="67" t="n">
        <v>46287</v>
      </c>
      <c r="L38" s="67" t="n">
        <v>46306</v>
      </c>
      <c r="M38" s="66" t="n">
        <v>16</v>
      </c>
      <c r="N38" s="66" t="s">
        <v>64</v>
      </c>
      <c r="O38" s="66" t="s">
        <v>227</v>
      </c>
      <c r="P38" s="66" t="s">
        <v>384</v>
      </c>
    </row>
    <row r="39" customFormat="false" ht="15" hidden="false" customHeight="false" outlineLevel="0" collapsed="false">
      <c r="A39" s="66" t="s">
        <v>459</v>
      </c>
      <c r="B39" s="66" t="s">
        <v>460</v>
      </c>
      <c r="C39" s="66" t="s">
        <v>209</v>
      </c>
      <c r="D39" s="66" t="s">
        <v>461</v>
      </c>
      <c r="E39" s="66" t="s">
        <v>308</v>
      </c>
      <c r="F39" s="66" t="s">
        <v>462</v>
      </c>
      <c r="G39" s="66" t="s">
        <v>463</v>
      </c>
      <c r="H39" s="66" t="s">
        <v>192</v>
      </c>
      <c r="I39" s="66" t="s">
        <v>218</v>
      </c>
      <c r="J39" s="67" t="n">
        <v>45771</v>
      </c>
      <c r="K39" s="67" t="n">
        <v>46332</v>
      </c>
      <c r="L39" s="67" t="n">
        <v>46308</v>
      </c>
      <c r="M39" s="66" t="n">
        <v>2</v>
      </c>
      <c r="N39" s="66" t="s">
        <v>106</v>
      </c>
      <c r="O39" s="66" t="s">
        <v>229</v>
      </c>
      <c r="P39" s="66" t="s">
        <v>350</v>
      </c>
    </row>
    <row r="40" customFormat="false" ht="15" hidden="false" customHeight="false" outlineLevel="0" collapsed="false">
      <c r="A40" s="66" t="s">
        <v>464</v>
      </c>
      <c r="B40" s="66" t="s">
        <v>465</v>
      </c>
      <c r="C40" s="66" t="s">
        <v>209</v>
      </c>
      <c r="D40" s="66" t="s">
        <v>363</v>
      </c>
      <c r="E40" s="66" t="s">
        <v>336</v>
      </c>
      <c r="F40" s="66" t="s">
        <v>466</v>
      </c>
      <c r="G40" s="66" t="s">
        <v>467</v>
      </c>
      <c r="H40" s="66" t="s">
        <v>193</v>
      </c>
      <c r="I40" s="66"/>
      <c r="J40" s="67" t="n">
        <v>45928</v>
      </c>
      <c r="K40" s="67" t="n">
        <v>46280</v>
      </c>
      <c r="L40" s="67" t="n">
        <v>46320</v>
      </c>
      <c r="M40" s="66" t="n">
        <v>5</v>
      </c>
      <c r="N40" s="66"/>
      <c r="O40" s="66" t="s">
        <v>227</v>
      </c>
      <c r="P40" s="66" t="s">
        <v>344</v>
      </c>
    </row>
    <row r="41" customFormat="false" ht="15" hidden="false" customHeight="false" outlineLevel="0" collapsed="false">
      <c r="A41" s="66" t="s">
        <v>468</v>
      </c>
      <c r="B41" s="66" t="s">
        <v>469</v>
      </c>
      <c r="C41" s="66" t="s">
        <v>209</v>
      </c>
      <c r="D41" s="66" t="s">
        <v>461</v>
      </c>
      <c r="E41" s="66" t="s">
        <v>336</v>
      </c>
      <c r="F41" s="66" t="s">
        <v>470</v>
      </c>
      <c r="G41" s="66" t="s">
        <v>471</v>
      </c>
      <c r="H41" s="66" t="s">
        <v>692</v>
      </c>
      <c r="I41" s="66" t="s">
        <v>218</v>
      </c>
      <c r="J41" s="67" t="n">
        <v>46227</v>
      </c>
      <c r="K41" s="67" t="n">
        <v>46245</v>
      </c>
      <c r="L41" s="66"/>
      <c r="M41" s="66" t="n">
        <v>20</v>
      </c>
      <c r="N41" s="66" t="s">
        <v>64</v>
      </c>
      <c r="O41" s="66" t="s">
        <v>97</v>
      </c>
      <c r="P41" s="66" t="s">
        <v>281</v>
      </c>
    </row>
    <row r="42" customFormat="false" ht="15" hidden="false" customHeight="false" outlineLevel="0" collapsed="false">
      <c r="A42" s="66" t="s">
        <v>472</v>
      </c>
      <c r="B42" s="66" t="s">
        <v>473</v>
      </c>
      <c r="C42" s="66" t="s">
        <v>209</v>
      </c>
      <c r="D42" s="66" t="s">
        <v>402</v>
      </c>
      <c r="E42" s="66" t="s">
        <v>265</v>
      </c>
      <c r="F42" s="66" t="s">
        <v>474</v>
      </c>
      <c r="G42" s="66" t="s">
        <v>693</v>
      </c>
      <c r="H42" s="66" t="s">
        <v>690</v>
      </c>
      <c r="I42" s="66" t="s">
        <v>221</v>
      </c>
      <c r="J42" s="67" t="n">
        <v>46095</v>
      </c>
      <c r="K42" s="67" t="n">
        <v>46277</v>
      </c>
      <c r="L42" s="67" t="n">
        <v>46377</v>
      </c>
      <c r="M42" s="66" t="n">
        <v>6</v>
      </c>
      <c r="N42" s="66"/>
      <c r="O42" s="66" t="s">
        <v>105</v>
      </c>
      <c r="P42" s="66" t="s">
        <v>274</v>
      </c>
    </row>
    <row r="43" customFormat="false" ht="15" hidden="false" customHeight="false" outlineLevel="0" collapsed="false">
      <c r="A43" s="66" t="s">
        <v>39</v>
      </c>
      <c r="B43" s="66" t="s">
        <v>476</v>
      </c>
      <c r="C43" s="66" t="s">
        <v>209</v>
      </c>
      <c r="D43" s="66" t="s">
        <v>477</v>
      </c>
      <c r="E43" s="66" t="s">
        <v>348</v>
      </c>
      <c r="F43" s="66" t="s">
        <v>478</v>
      </c>
      <c r="G43" s="66" t="s">
        <v>479</v>
      </c>
      <c r="H43" s="66" t="s">
        <v>193</v>
      </c>
      <c r="I43" s="66" t="s">
        <v>220</v>
      </c>
      <c r="J43" s="67" t="n">
        <v>46156</v>
      </c>
      <c r="K43" s="66" t="s">
        <v>694</v>
      </c>
      <c r="L43" s="67" t="n">
        <v>46210</v>
      </c>
      <c r="M43" s="66" t="n">
        <v>5</v>
      </c>
      <c r="N43" s="66" t="s">
        <v>85</v>
      </c>
      <c r="O43" s="66" t="s">
        <v>105</v>
      </c>
      <c r="P43" s="66" t="s">
        <v>287</v>
      </c>
    </row>
    <row r="44" customFormat="false" ht="15" hidden="false" customHeight="false" outlineLevel="0" collapsed="false">
      <c r="A44" s="66" t="s">
        <v>480</v>
      </c>
      <c r="B44" s="66" t="s">
        <v>481</v>
      </c>
      <c r="C44" s="66"/>
      <c r="D44" s="66" t="s">
        <v>482</v>
      </c>
      <c r="E44" s="66" t="s">
        <v>324</v>
      </c>
      <c r="F44" s="66" t="s">
        <v>483</v>
      </c>
      <c r="G44" s="66" t="s">
        <v>484</v>
      </c>
      <c r="H44" s="66" t="s">
        <v>195</v>
      </c>
      <c r="I44" s="66" t="s">
        <v>222</v>
      </c>
      <c r="J44" s="67" t="n">
        <v>45867</v>
      </c>
      <c r="K44" s="67" t="n">
        <v>46068</v>
      </c>
      <c r="L44" s="67" t="n">
        <v>46183</v>
      </c>
      <c r="M44" s="66" t="n">
        <v>2</v>
      </c>
      <c r="N44" s="66" t="s">
        <v>106</v>
      </c>
      <c r="O44" s="66" t="s">
        <v>97</v>
      </c>
      <c r="P44" s="66" t="s">
        <v>421</v>
      </c>
    </row>
    <row r="45" customFormat="false" ht="15" hidden="false" customHeight="false" outlineLevel="0" collapsed="false">
      <c r="A45" s="66" t="s">
        <v>485</v>
      </c>
      <c r="B45" s="66" t="s">
        <v>486</v>
      </c>
      <c r="C45" s="66" t="s">
        <v>209</v>
      </c>
      <c r="D45" s="66" t="s">
        <v>487</v>
      </c>
      <c r="E45" s="66" t="s">
        <v>336</v>
      </c>
      <c r="F45" s="66" t="s">
        <v>488</v>
      </c>
      <c r="G45" s="66" t="s">
        <v>489</v>
      </c>
      <c r="H45" s="66" t="s">
        <v>196</v>
      </c>
      <c r="I45" s="66" t="s">
        <v>219</v>
      </c>
      <c r="J45" s="67" t="n">
        <v>45772</v>
      </c>
      <c r="K45" s="67" t="n">
        <v>46105</v>
      </c>
      <c r="L45" s="66"/>
      <c r="M45" s="66" t="n">
        <v>2</v>
      </c>
      <c r="N45" s="66" t="s">
        <v>106</v>
      </c>
      <c r="O45" s="66" t="s">
        <v>227</v>
      </c>
      <c r="P45" s="66" t="s">
        <v>490</v>
      </c>
    </row>
    <row r="46" customFormat="false" ht="15" hidden="false" customHeight="false" outlineLevel="0" collapsed="false">
      <c r="A46" s="66" t="s">
        <v>491</v>
      </c>
      <c r="B46" s="66" t="s">
        <v>492</v>
      </c>
      <c r="C46" s="66" t="s">
        <v>210</v>
      </c>
      <c r="D46" s="66" t="s">
        <v>493</v>
      </c>
      <c r="E46" s="66" t="s">
        <v>336</v>
      </c>
      <c r="F46" s="66" t="s">
        <v>494</v>
      </c>
      <c r="G46" s="66" t="s">
        <v>695</v>
      </c>
      <c r="H46" s="66" t="s">
        <v>14</v>
      </c>
      <c r="I46" s="66" t="s">
        <v>221</v>
      </c>
      <c r="J46" s="67" t="n">
        <v>45911</v>
      </c>
      <c r="K46" s="67" t="n">
        <v>46231</v>
      </c>
      <c r="L46" s="67" t="n">
        <v>46278</v>
      </c>
      <c r="M46" s="66" t="n">
        <v>10</v>
      </c>
      <c r="N46" s="66" t="s">
        <v>64</v>
      </c>
      <c r="O46" s="66" t="s">
        <v>97</v>
      </c>
      <c r="P46" s="66" t="s">
        <v>281</v>
      </c>
    </row>
    <row r="47" customFormat="false" ht="15" hidden="false" customHeight="false" outlineLevel="0" collapsed="false">
      <c r="A47" s="66" t="s">
        <v>496</v>
      </c>
      <c r="B47" s="66" t="s">
        <v>497</v>
      </c>
      <c r="C47" s="66" t="s">
        <v>209</v>
      </c>
      <c r="D47" s="66" t="s">
        <v>498</v>
      </c>
      <c r="E47" s="66" t="s">
        <v>324</v>
      </c>
      <c r="F47" s="66" t="s">
        <v>499</v>
      </c>
      <c r="G47" s="66" t="s">
        <v>500</v>
      </c>
      <c r="H47" s="66" t="s">
        <v>196</v>
      </c>
      <c r="I47" s="66" t="s">
        <v>218</v>
      </c>
      <c r="J47" s="67" t="n">
        <v>46235</v>
      </c>
      <c r="K47" s="67" t="n">
        <v>46017</v>
      </c>
      <c r="L47" s="66"/>
      <c r="M47" s="66"/>
      <c r="N47" s="66" t="s">
        <v>106</v>
      </c>
      <c r="O47" s="66" t="s">
        <v>229</v>
      </c>
      <c r="P47" s="66" t="s">
        <v>490</v>
      </c>
    </row>
    <row r="48" customFormat="false" ht="15" hidden="false" customHeight="false" outlineLevel="0" collapsed="false">
      <c r="A48" s="66" t="s">
        <v>501</v>
      </c>
      <c r="B48" s="66" t="s">
        <v>502</v>
      </c>
      <c r="C48" s="66" t="s">
        <v>209</v>
      </c>
      <c r="D48" s="66" t="s">
        <v>290</v>
      </c>
      <c r="E48" s="66" t="s">
        <v>324</v>
      </c>
      <c r="F48" s="66" t="s">
        <v>503</v>
      </c>
      <c r="G48" s="66" t="s">
        <v>504</v>
      </c>
      <c r="H48" s="66" t="s">
        <v>14</v>
      </c>
      <c r="I48" s="66" t="s">
        <v>219</v>
      </c>
      <c r="J48" s="67" t="n">
        <v>46149</v>
      </c>
      <c r="K48" s="66"/>
      <c r="L48" s="67" t="n">
        <v>46358</v>
      </c>
      <c r="M48" s="66" t="n">
        <v>0</v>
      </c>
      <c r="N48" s="66" t="s">
        <v>64</v>
      </c>
      <c r="O48" s="66" t="s">
        <v>229</v>
      </c>
      <c r="P48" s="66" t="s">
        <v>505</v>
      </c>
    </row>
    <row r="49" customFormat="false" ht="15" hidden="false" customHeight="false" outlineLevel="0" collapsed="false">
      <c r="A49" s="66" t="s">
        <v>506</v>
      </c>
      <c r="B49" s="66" t="s">
        <v>507</v>
      </c>
      <c r="C49" s="66" t="s">
        <v>207</v>
      </c>
      <c r="D49" s="66" t="s">
        <v>508</v>
      </c>
      <c r="E49" s="66" t="s">
        <v>308</v>
      </c>
      <c r="F49" s="66"/>
      <c r="G49" s="66" t="s">
        <v>509</v>
      </c>
      <c r="H49" s="66" t="s">
        <v>192</v>
      </c>
      <c r="I49" s="66" t="s">
        <v>221</v>
      </c>
      <c r="J49" s="67" t="n">
        <v>45968</v>
      </c>
      <c r="K49" s="67" t="n">
        <v>46272</v>
      </c>
      <c r="L49" s="67" t="n">
        <v>46312</v>
      </c>
      <c r="M49" s="66" t="n">
        <v>1</v>
      </c>
      <c r="N49" s="66" t="s">
        <v>85</v>
      </c>
      <c r="O49" s="66" t="s">
        <v>105</v>
      </c>
      <c r="P49" s="66" t="s">
        <v>510</v>
      </c>
    </row>
    <row r="50" customFormat="false" ht="15" hidden="false" customHeight="false" outlineLevel="0" collapsed="false">
      <c r="A50" s="66" t="s">
        <v>511</v>
      </c>
      <c r="B50" s="66" t="s">
        <v>512</v>
      </c>
      <c r="C50" s="66" t="s">
        <v>210</v>
      </c>
      <c r="D50" s="66" t="s">
        <v>513</v>
      </c>
      <c r="E50" s="66" t="s">
        <v>348</v>
      </c>
      <c r="F50" s="66" t="s">
        <v>514</v>
      </c>
      <c r="G50" s="66" t="s">
        <v>515</v>
      </c>
      <c r="H50" s="66" t="s">
        <v>195</v>
      </c>
      <c r="I50" s="66" t="s">
        <v>219</v>
      </c>
      <c r="J50" s="67" t="n">
        <v>46221</v>
      </c>
      <c r="K50" s="67" t="n">
        <v>46287</v>
      </c>
      <c r="L50" s="67" t="n">
        <v>46392</v>
      </c>
      <c r="M50" s="66"/>
      <c r="N50" s="66" t="s">
        <v>106</v>
      </c>
      <c r="O50" s="66" t="s">
        <v>228</v>
      </c>
      <c r="P50" s="66" t="s">
        <v>321</v>
      </c>
    </row>
    <row r="51" customFormat="false" ht="15" hidden="false" customHeight="false" outlineLevel="0" collapsed="false">
      <c r="A51" s="66" t="s">
        <v>38</v>
      </c>
      <c r="B51" s="66" t="s">
        <v>516</v>
      </c>
      <c r="C51" s="66" t="s">
        <v>696</v>
      </c>
      <c r="D51" s="66" t="s">
        <v>517</v>
      </c>
      <c r="E51" s="66" t="s">
        <v>259</v>
      </c>
      <c r="F51" s="66" t="s">
        <v>518</v>
      </c>
      <c r="G51" s="66" t="s">
        <v>519</v>
      </c>
      <c r="H51" s="66" t="s">
        <v>14</v>
      </c>
      <c r="I51" s="66" t="s">
        <v>222</v>
      </c>
      <c r="J51" s="66" t="s">
        <v>697</v>
      </c>
      <c r="K51" s="67" t="n">
        <v>46160</v>
      </c>
      <c r="L51" s="67" t="n">
        <v>46203</v>
      </c>
      <c r="M51" s="66" t="n">
        <v>12</v>
      </c>
      <c r="N51" s="66" t="s">
        <v>85</v>
      </c>
      <c r="O51" s="66" t="s">
        <v>97</v>
      </c>
      <c r="P51" s="66" t="s">
        <v>379</v>
      </c>
    </row>
    <row r="52" customFormat="false" ht="15" hidden="false" customHeight="false" outlineLevel="0" collapsed="false">
      <c r="A52" s="66" t="s">
        <v>520</v>
      </c>
      <c r="B52" s="66" t="s">
        <v>521</v>
      </c>
      <c r="C52" s="66" t="s">
        <v>210</v>
      </c>
      <c r="D52" s="66" t="s">
        <v>522</v>
      </c>
      <c r="E52" s="66" t="s">
        <v>348</v>
      </c>
      <c r="F52" s="66" t="s">
        <v>523</v>
      </c>
      <c r="G52" s="66" t="s">
        <v>524</v>
      </c>
      <c r="H52" s="66" t="s">
        <v>21</v>
      </c>
      <c r="I52" s="66"/>
      <c r="J52" s="66"/>
      <c r="K52" s="66"/>
      <c r="L52" s="66"/>
      <c r="M52" s="66" t="n">
        <v>0</v>
      </c>
      <c r="N52" s="66"/>
      <c r="O52" s="66"/>
      <c r="P52" s="66" t="s">
        <v>293</v>
      </c>
    </row>
    <row r="53" customFormat="false" ht="15" hidden="false" customHeight="false" outlineLevel="0" collapsed="false">
      <c r="A53" s="66" t="s">
        <v>34</v>
      </c>
      <c r="B53" s="66" t="s">
        <v>525</v>
      </c>
      <c r="C53" s="66" t="s">
        <v>696</v>
      </c>
      <c r="D53" s="66" t="s">
        <v>526</v>
      </c>
      <c r="E53" s="66" t="s">
        <v>308</v>
      </c>
      <c r="F53" s="66" t="s">
        <v>527</v>
      </c>
      <c r="G53" s="66"/>
      <c r="H53" s="66" t="s">
        <v>14</v>
      </c>
      <c r="I53" s="66" t="s">
        <v>221</v>
      </c>
      <c r="J53" s="67" t="n">
        <v>45965</v>
      </c>
      <c r="K53" s="67" t="n">
        <v>46073</v>
      </c>
      <c r="L53" s="67" t="n">
        <v>46090</v>
      </c>
      <c r="M53" s="66" t="n">
        <v>10</v>
      </c>
      <c r="N53" s="66" t="s">
        <v>64</v>
      </c>
      <c r="O53" s="66" t="s">
        <v>229</v>
      </c>
      <c r="P53" s="66" t="s">
        <v>405</v>
      </c>
    </row>
    <row r="54" customFormat="false" ht="15" hidden="false" customHeight="false" outlineLevel="0" collapsed="false">
      <c r="A54" s="66" t="s">
        <v>33</v>
      </c>
      <c r="B54" s="66" t="s">
        <v>528</v>
      </c>
      <c r="C54" s="66" t="s">
        <v>210</v>
      </c>
      <c r="D54" s="66" t="s">
        <v>529</v>
      </c>
      <c r="E54" s="66" t="s">
        <v>308</v>
      </c>
      <c r="F54" s="66" t="s">
        <v>530</v>
      </c>
      <c r="G54" s="66" t="s">
        <v>698</v>
      </c>
      <c r="H54" s="66" t="s">
        <v>14</v>
      </c>
      <c r="I54" s="66" t="s">
        <v>217</v>
      </c>
      <c r="J54" s="67" t="n">
        <v>46292</v>
      </c>
      <c r="K54" s="67" t="n">
        <v>45970</v>
      </c>
      <c r="L54" s="67" t="n">
        <v>46290</v>
      </c>
      <c r="M54" s="66" t="n">
        <v>6</v>
      </c>
      <c r="N54" s="66" t="s">
        <v>64</v>
      </c>
      <c r="O54" s="66" t="s">
        <v>105</v>
      </c>
      <c r="P54" s="66" t="s">
        <v>384</v>
      </c>
    </row>
    <row r="55" customFormat="false" ht="15" hidden="false" customHeight="false" outlineLevel="0" collapsed="false">
      <c r="A55" s="66" t="s">
        <v>532</v>
      </c>
      <c r="B55" s="66" t="s">
        <v>533</v>
      </c>
      <c r="C55" s="66" t="s">
        <v>210</v>
      </c>
      <c r="D55" s="66" t="s">
        <v>534</v>
      </c>
      <c r="E55" s="66" t="s">
        <v>259</v>
      </c>
      <c r="F55" s="66" t="s">
        <v>535</v>
      </c>
      <c r="G55" s="66" t="s">
        <v>536</v>
      </c>
      <c r="H55" s="66" t="s">
        <v>193</v>
      </c>
      <c r="I55" s="66" t="s">
        <v>219</v>
      </c>
      <c r="J55" s="67" t="n">
        <v>46226</v>
      </c>
      <c r="K55" s="67" t="n">
        <v>46246</v>
      </c>
      <c r="L55" s="66"/>
      <c r="M55" s="66" t="n">
        <v>6</v>
      </c>
      <c r="N55" s="66" t="s">
        <v>64</v>
      </c>
      <c r="O55" s="66" t="s">
        <v>105</v>
      </c>
      <c r="P55" s="66" t="s">
        <v>360</v>
      </c>
    </row>
    <row r="56" customFormat="false" ht="15" hidden="false" customHeight="false" outlineLevel="0" collapsed="false">
      <c r="A56" s="66" t="s">
        <v>537</v>
      </c>
      <c r="B56" s="66" t="s">
        <v>538</v>
      </c>
      <c r="C56" s="66" t="s">
        <v>210</v>
      </c>
      <c r="D56" s="66" t="s">
        <v>539</v>
      </c>
      <c r="E56" s="66" t="s">
        <v>308</v>
      </c>
      <c r="F56" s="66" t="s">
        <v>540</v>
      </c>
      <c r="G56" s="66" t="s">
        <v>541</v>
      </c>
      <c r="H56" s="66" t="s">
        <v>690</v>
      </c>
      <c r="I56" s="66" t="s">
        <v>218</v>
      </c>
      <c r="J56" s="67" t="n">
        <v>46288</v>
      </c>
      <c r="K56" s="67" t="n">
        <v>45890</v>
      </c>
      <c r="L56" s="67" t="n">
        <v>46338</v>
      </c>
      <c r="M56" s="66" t="n">
        <v>5</v>
      </c>
      <c r="N56" s="66" t="s">
        <v>106</v>
      </c>
      <c r="O56" s="66" t="s">
        <v>97</v>
      </c>
      <c r="P56" s="66" t="s">
        <v>274</v>
      </c>
    </row>
    <row r="57" customFormat="false" ht="15" hidden="false" customHeight="false" outlineLevel="0" collapsed="false">
      <c r="A57" s="66" t="s">
        <v>542</v>
      </c>
      <c r="B57" s="66" t="s">
        <v>543</v>
      </c>
      <c r="C57" s="66" t="s">
        <v>210</v>
      </c>
      <c r="D57" s="66" t="s">
        <v>544</v>
      </c>
      <c r="E57" s="66" t="s">
        <v>259</v>
      </c>
      <c r="F57" s="66" t="s">
        <v>545</v>
      </c>
      <c r="G57" s="66" t="s">
        <v>546</v>
      </c>
      <c r="H57" s="66" t="s">
        <v>699</v>
      </c>
      <c r="I57" s="66" t="s">
        <v>219</v>
      </c>
      <c r="J57" s="67" t="n">
        <v>46228</v>
      </c>
      <c r="K57" s="67" t="n">
        <v>46233</v>
      </c>
      <c r="L57" s="67" t="n">
        <v>46292</v>
      </c>
      <c r="M57" s="66" t="n">
        <v>10</v>
      </c>
      <c r="N57" s="66" t="s">
        <v>64</v>
      </c>
      <c r="O57" s="66" t="s">
        <v>105</v>
      </c>
      <c r="P57" s="66" t="s">
        <v>304</v>
      </c>
    </row>
    <row r="58" customFormat="false" ht="15" hidden="false" customHeight="false" outlineLevel="0" collapsed="false">
      <c r="A58" s="66" t="s">
        <v>44</v>
      </c>
      <c r="B58" s="66" t="s">
        <v>547</v>
      </c>
      <c r="C58" s="66" t="s">
        <v>696</v>
      </c>
      <c r="D58" s="66" t="s">
        <v>548</v>
      </c>
      <c r="E58" s="66" t="s">
        <v>265</v>
      </c>
      <c r="F58" s="66"/>
      <c r="G58" s="66" t="s">
        <v>549</v>
      </c>
      <c r="H58" s="66" t="s">
        <v>192</v>
      </c>
      <c r="I58" s="66" t="s">
        <v>222</v>
      </c>
      <c r="J58" s="67" t="n">
        <v>46068</v>
      </c>
      <c r="K58" s="67" t="n">
        <v>46079</v>
      </c>
      <c r="L58" s="67" t="n">
        <v>46120</v>
      </c>
      <c r="M58" s="66" t="n">
        <v>2</v>
      </c>
      <c r="N58" s="66" t="s">
        <v>106</v>
      </c>
      <c r="O58" s="66" t="s">
        <v>228</v>
      </c>
      <c r="P58" s="66" t="s">
        <v>510</v>
      </c>
    </row>
    <row r="59" customFormat="false" ht="15" hidden="false" customHeight="false" outlineLevel="0" collapsed="false">
      <c r="A59" s="66" t="s">
        <v>550</v>
      </c>
      <c r="B59" s="66" t="s">
        <v>551</v>
      </c>
      <c r="C59" s="66" t="s">
        <v>210</v>
      </c>
      <c r="D59" s="66" t="s">
        <v>700</v>
      </c>
      <c r="E59" s="66" t="s">
        <v>278</v>
      </c>
      <c r="F59" s="66" t="s">
        <v>553</v>
      </c>
      <c r="G59" s="66" t="s">
        <v>554</v>
      </c>
      <c r="H59" s="66" t="s">
        <v>195</v>
      </c>
      <c r="I59" s="66" t="s">
        <v>222</v>
      </c>
      <c r="J59" s="67" t="n">
        <v>45748</v>
      </c>
      <c r="K59" s="67" t="n">
        <v>46261</v>
      </c>
      <c r="L59" s="67" t="n">
        <v>46338</v>
      </c>
      <c r="M59" s="66" t="n">
        <v>5</v>
      </c>
      <c r="N59" s="66" t="s">
        <v>106</v>
      </c>
      <c r="O59" s="66" t="s">
        <v>227</v>
      </c>
      <c r="P59" s="66" t="s">
        <v>321</v>
      </c>
    </row>
    <row r="60" customFormat="false" ht="15" hidden="false" customHeight="false" outlineLevel="0" collapsed="false">
      <c r="A60" s="66" t="s">
        <v>555</v>
      </c>
      <c r="B60" s="66" t="s">
        <v>556</v>
      </c>
      <c r="C60" s="66" t="s">
        <v>210</v>
      </c>
      <c r="D60" s="66" t="s">
        <v>557</v>
      </c>
      <c r="E60" s="66" t="s">
        <v>259</v>
      </c>
      <c r="F60" s="66" t="s">
        <v>558</v>
      </c>
      <c r="G60" s="66"/>
      <c r="H60" s="66" t="s">
        <v>21</v>
      </c>
      <c r="I60" s="66"/>
      <c r="J60" s="66"/>
      <c r="K60" s="66"/>
      <c r="L60" s="66"/>
      <c r="M60" s="66" t="n">
        <v>0</v>
      </c>
      <c r="N60" s="66"/>
      <c r="O60" s="66"/>
      <c r="P60" s="66"/>
    </row>
    <row r="61" customFormat="false" ht="15" hidden="false" customHeight="false" outlineLevel="0" collapsed="false">
      <c r="A61" s="66"/>
      <c r="B61" s="66" t="s">
        <v>560</v>
      </c>
      <c r="C61" s="66" t="s">
        <v>210</v>
      </c>
      <c r="D61" s="66" t="s">
        <v>561</v>
      </c>
      <c r="E61" s="66" t="s">
        <v>278</v>
      </c>
      <c r="F61" s="66"/>
      <c r="G61" s="66" t="s">
        <v>562</v>
      </c>
      <c r="H61" s="66" t="s">
        <v>14</v>
      </c>
      <c r="I61" s="66" t="s">
        <v>221</v>
      </c>
      <c r="J61" s="67" t="n">
        <v>46131</v>
      </c>
      <c r="K61" s="67" t="n">
        <v>46225</v>
      </c>
      <c r="L61" s="67" t="n">
        <v>46245</v>
      </c>
      <c r="M61" s="66" t="n">
        <v>19</v>
      </c>
      <c r="N61" s="66"/>
      <c r="O61" s="66" t="s">
        <v>97</v>
      </c>
      <c r="P61" s="66" t="s">
        <v>505</v>
      </c>
    </row>
    <row r="62" customFormat="false" ht="15" hidden="false" customHeight="false" outlineLevel="0" collapsed="false">
      <c r="A62" s="66" t="s">
        <v>563</v>
      </c>
      <c r="B62" s="66" t="s">
        <v>564</v>
      </c>
      <c r="C62" s="66" t="s">
        <v>210</v>
      </c>
      <c r="D62" s="66" t="s">
        <v>565</v>
      </c>
      <c r="E62" s="66" t="s">
        <v>324</v>
      </c>
      <c r="F62" s="66" t="s">
        <v>566</v>
      </c>
      <c r="G62" s="66" t="s">
        <v>567</v>
      </c>
      <c r="H62" s="66" t="s">
        <v>193</v>
      </c>
      <c r="I62" s="66" t="s">
        <v>220</v>
      </c>
      <c r="J62" s="67" t="n">
        <v>45772</v>
      </c>
      <c r="K62" s="67" t="n">
        <v>46388</v>
      </c>
      <c r="L62" s="67" t="n">
        <v>46313</v>
      </c>
      <c r="M62" s="66" t="n">
        <v>3</v>
      </c>
      <c r="N62" s="66" t="s">
        <v>85</v>
      </c>
      <c r="O62" s="66" t="s">
        <v>227</v>
      </c>
      <c r="P62" s="66" t="s">
        <v>287</v>
      </c>
    </row>
    <row r="63" customFormat="false" ht="15" hidden="false" customHeight="false" outlineLevel="0" collapsed="false">
      <c r="A63" s="66" t="s">
        <v>568</v>
      </c>
      <c r="B63" s="66" t="s">
        <v>569</v>
      </c>
      <c r="C63" s="66" t="s">
        <v>210</v>
      </c>
      <c r="D63" s="66" t="s">
        <v>570</v>
      </c>
      <c r="E63" s="66" t="s">
        <v>324</v>
      </c>
      <c r="F63" s="66" t="s">
        <v>571</v>
      </c>
      <c r="G63" s="66" t="s">
        <v>572</v>
      </c>
      <c r="H63" s="66" t="s">
        <v>14</v>
      </c>
      <c r="I63" s="66" t="s">
        <v>222</v>
      </c>
      <c r="J63" s="67" t="n">
        <v>45873</v>
      </c>
      <c r="K63" s="67" t="n">
        <v>46273</v>
      </c>
      <c r="L63" s="67" t="n">
        <v>46295</v>
      </c>
      <c r="M63" s="66" t="n">
        <v>0</v>
      </c>
      <c r="N63" s="66" t="s">
        <v>64</v>
      </c>
      <c r="O63" s="66" t="s">
        <v>228</v>
      </c>
      <c r="P63" s="66" t="s">
        <v>405</v>
      </c>
    </row>
    <row r="64" customFormat="false" ht="15" hidden="false" customHeight="false" outlineLevel="0" collapsed="false">
      <c r="A64" s="66"/>
      <c r="B64" s="66" t="s">
        <v>701</v>
      </c>
      <c r="C64" s="66" t="s">
        <v>211</v>
      </c>
      <c r="D64" s="66" t="s">
        <v>575</v>
      </c>
      <c r="E64" s="66" t="s">
        <v>336</v>
      </c>
      <c r="F64" s="66" t="s">
        <v>576</v>
      </c>
      <c r="G64" s="66"/>
      <c r="H64" s="66" t="s">
        <v>194</v>
      </c>
      <c r="I64" s="66"/>
      <c r="J64" s="67" t="n">
        <v>46009</v>
      </c>
      <c r="K64" s="67" t="n">
        <v>46284</v>
      </c>
      <c r="L64" s="67" t="n">
        <v>46324</v>
      </c>
      <c r="M64" s="66" t="n">
        <v>8</v>
      </c>
      <c r="N64" s="66" t="s">
        <v>85</v>
      </c>
      <c r="O64" s="66" t="s">
        <v>229</v>
      </c>
      <c r="P64" s="66" t="s">
        <v>304</v>
      </c>
    </row>
    <row r="65" customFormat="false" ht="15" hidden="false" customHeight="false" outlineLevel="0" collapsed="false">
      <c r="A65" s="66" t="s">
        <v>577</v>
      </c>
      <c r="B65" s="66" t="s">
        <v>578</v>
      </c>
      <c r="C65" s="66" t="s">
        <v>702</v>
      </c>
      <c r="D65" s="66" t="s">
        <v>703</v>
      </c>
      <c r="E65" s="66" t="s">
        <v>308</v>
      </c>
      <c r="F65" s="66" t="s">
        <v>579</v>
      </c>
      <c r="G65" s="66" t="s">
        <v>580</v>
      </c>
      <c r="H65" s="66" t="s">
        <v>14</v>
      </c>
      <c r="I65" s="66" t="s">
        <v>221</v>
      </c>
      <c r="J65" s="67" t="n">
        <v>45687</v>
      </c>
      <c r="K65" s="67" t="n">
        <v>46212</v>
      </c>
      <c r="L65" s="67" t="n">
        <v>46271</v>
      </c>
      <c r="M65" s="66" t="n">
        <v>10</v>
      </c>
      <c r="N65" s="66" t="s">
        <v>64</v>
      </c>
      <c r="O65" s="66" t="s">
        <v>229</v>
      </c>
      <c r="P65" s="66" t="s">
        <v>405</v>
      </c>
    </row>
    <row r="66" customFormat="false" ht="15" hidden="false" customHeight="false" outlineLevel="0" collapsed="false">
      <c r="A66" s="66" t="s">
        <v>581</v>
      </c>
      <c r="B66" s="66" t="s">
        <v>582</v>
      </c>
      <c r="C66" s="66" t="s">
        <v>211</v>
      </c>
      <c r="D66" s="66" t="s">
        <v>583</v>
      </c>
      <c r="E66" s="66" t="s">
        <v>336</v>
      </c>
      <c r="F66" s="66" t="s">
        <v>584</v>
      </c>
      <c r="G66" s="66" t="s">
        <v>585</v>
      </c>
      <c r="H66" s="66" t="s">
        <v>14</v>
      </c>
      <c r="I66" s="66" t="s">
        <v>217</v>
      </c>
      <c r="J66" s="67" t="n">
        <v>45797</v>
      </c>
      <c r="K66" s="67" t="n">
        <v>46285</v>
      </c>
      <c r="L66" s="67" t="n">
        <v>46333</v>
      </c>
      <c r="M66" s="66" t="n">
        <v>9</v>
      </c>
      <c r="N66" s="66"/>
      <c r="O66" s="66" t="s">
        <v>227</v>
      </c>
      <c r="P66" s="66" t="s">
        <v>281</v>
      </c>
    </row>
    <row r="67" customFormat="false" ht="15" hidden="false" customHeight="false" outlineLevel="0" collapsed="false">
      <c r="A67" s="66" t="s">
        <v>586</v>
      </c>
      <c r="B67" s="66" t="s">
        <v>587</v>
      </c>
      <c r="C67" s="66" t="s">
        <v>211</v>
      </c>
      <c r="D67" s="66" t="s">
        <v>704</v>
      </c>
      <c r="E67" s="66" t="s">
        <v>308</v>
      </c>
      <c r="F67" s="66" t="s">
        <v>589</v>
      </c>
      <c r="G67" s="66" t="s">
        <v>590</v>
      </c>
      <c r="H67" s="66" t="s">
        <v>192</v>
      </c>
      <c r="I67" s="66" t="s">
        <v>221</v>
      </c>
      <c r="J67" s="67" t="n">
        <v>45783</v>
      </c>
      <c r="K67" s="66"/>
      <c r="L67" s="67" t="n">
        <v>46340</v>
      </c>
      <c r="M67" s="66" t="n">
        <v>2</v>
      </c>
      <c r="N67" s="66" t="s">
        <v>106</v>
      </c>
      <c r="O67" s="66" t="s">
        <v>227</v>
      </c>
      <c r="P67" s="66" t="s">
        <v>350</v>
      </c>
    </row>
    <row r="68" customFormat="false" ht="15" hidden="false" customHeight="false" outlineLevel="0" collapsed="false">
      <c r="A68" s="66" t="s">
        <v>591</v>
      </c>
      <c r="B68" s="66" t="s">
        <v>592</v>
      </c>
      <c r="C68" s="66" t="s">
        <v>211</v>
      </c>
      <c r="D68" s="66" t="s">
        <v>593</v>
      </c>
      <c r="E68" s="66" t="s">
        <v>348</v>
      </c>
      <c r="F68" s="66" t="s">
        <v>594</v>
      </c>
      <c r="G68" s="66" t="s">
        <v>595</v>
      </c>
      <c r="H68" s="66" t="s">
        <v>699</v>
      </c>
      <c r="I68" s="66"/>
      <c r="J68" s="67" t="n">
        <v>45794</v>
      </c>
      <c r="K68" s="67" t="n">
        <v>46277</v>
      </c>
      <c r="L68" s="67" t="n">
        <v>46294</v>
      </c>
      <c r="M68" s="66" t="n">
        <v>9</v>
      </c>
      <c r="N68" s="66" t="s">
        <v>85</v>
      </c>
      <c r="O68" s="66" t="s">
        <v>97</v>
      </c>
      <c r="P68" s="66" t="s">
        <v>327</v>
      </c>
    </row>
    <row r="69" customFormat="false" ht="15" hidden="false" customHeight="false" outlineLevel="0" collapsed="false">
      <c r="A69" s="66" t="s">
        <v>596</v>
      </c>
      <c r="B69" s="66" t="s">
        <v>597</v>
      </c>
      <c r="C69" s="66" t="s">
        <v>211</v>
      </c>
      <c r="D69" s="66" t="s">
        <v>598</v>
      </c>
      <c r="E69" s="66" t="s">
        <v>259</v>
      </c>
      <c r="F69" s="66" t="s">
        <v>599</v>
      </c>
      <c r="G69" s="66" t="s">
        <v>600</v>
      </c>
      <c r="H69" s="66" t="s">
        <v>192</v>
      </c>
      <c r="I69" s="66" t="s">
        <v>217</v>
      </c>
      <c r="J69" s="67" t="n">
        <v>45931</v>
      </c>
      <c r="K69" s="67" t="n">
        <v>46287</v>
      </c>
      <c r="L69" s="67" t="n">
        <v>46305</v>
      </c>
      <c r="M69" s="66"/>
      <c r="N69" s="66" t="s">
        <v>106</v>
      </c>
      <c r="O69" s="66" t="s">
        <v>97</v>
      </c>
      <c r="P69" s="66" t="s">
        <v>268</v>
      </c>
    </row>
    <row r="70" customFormat="false" ht="15" hidden="false" customHeight="false" outlineLevel="0" collapsed="false">
      <c r="A70" s="66" t="s">
        <v>601</v>
      </c>
      <c r="B70" s="66" t="s">
        <v>602</v>
      </c>
      <c r="C70" s="66" t="s">
        <v>702</v>
      </c>
      <c r="D70" s="66" t="s">
        <v>603</v>
      </c>
      <c r="E70" s="66" t="s">
        <v>278</v>
      </c>
      <c r="F70" s="66"/>
      <c r="G70" s="66" t="s">
        <v>604</v>
      </c>
      <c r="H70" s="66" t="s">
        <v>705</v>
      </c>
      <c r="I70" s="66" t="s">
        <v>217</v>
      </c>
      <c r="J70" s="67" t="n">
        <v>45808</v>
      </c>
      <c r="K70" s="67" t="n">
        <v>46079</v>
      </c>
      <c r="L70" s="66"/>
      <c r="M70" s="66" t="n">
        <v>3</v>
      </c>
      <c r="N70" s="66" t="s">
        <v>106</v>
      </c>
      <c r="O70" s="66" t="s">
        <v>97</v>
      </c>
      <c r="P70" s="66" t="s">
        <v>490</v>
      </c>
    </row>
    <row r="71" customFormat="false" ht="15" hidden="false" customHeight="false" outlineLevel="0" collapsed="false">
      <c r="A71" s="66" t="s">
        <v>42</v>
      </c>
      <c r="B71" s="66" t="s">
        <v>605</v>
      </c>
      <c r="C71" s="66" t="s">
        <v>211</v>
      </c>
      <c r="D71" s="66" t="s">
        <v>606</v>
      </c>
      <c r="E71" s="66" t="s">
        <v>265</v>
      </c>
      <c r="F71" s="66" t="s">
        <v>607</v>
      </c>
      <c r="G71" s="66" t="s">
        <v>706</v>
      </c>
      <c r="H71" s="66" t="s">
        <v>192</v>
      </c>
      <c r="I71" s="66" t="s">
        <v>219</v>
      </c>
      <c r="J71" s="67" t="n">
        <v>45965</v>
      </c>
      <c r="K71" s="67" t="n">
        <v>46076</v>
      </c>
      <c r="L71" s="67" t="n">
        <v>46134</v>
      </c>
      <c r="M71" s="66" t="n">
        <v>-3</v>
      </c>
      <c r="N71" s="66" t="s">
        <v>106</v>
      </c>
      <c r="O71" s="66" t="s">
        <v>227</v>
      </c>
      <c r="P71" s="66" t="s">
        <v>315</v>
      </c>
    </row>
    <row r="72" customFormat="false" ht="15" hidden="false" customHeight="false" outlineLevel="0" collapsed="false">
      <c r="A72" s="66" t="s">
        <v>609</v>
      </c>
      <c r="B72" s="66" t="s">
        <v>610</v>
      </c>
      <c r="C72" s="66"/>
      <c r="D72" s="66" t="s">
        <v>588</v>
      </c>
      <c r="E72" s="66" t="s">
        <v>348</v>
      </c>
      <c r="F72" s="66" t="s">
        <v>611</v>
      </c>
      <c r="G72" s="66" t="s">
        <v>612</v>
      </c>
      <c r="H72" s="66" t="s">
        <v>194</v>
      </c>
      <c r="I72" s="66" t="s">
        <v>221</v>
      </c>
      <c r="J72" s="67" t="n">
        <v>46072</v>
      </c>
      <c r="K72" s="66" t="s">
        <v>707</v>
      </c>
      <c r="L72" s="67" t="n">
        <v>46264</v>
      </c>
      <c r="M72" s="66" t="n">
        <v>6</v>
      </c>
      <c r="N72" s="66" t="s">
        <v>85</v>
      </c>
      <c r="O72" s="66" t="s">
        <v>97</v>
      </c>
      <c r="P72" s="66" t="s">
        <v>304</v>
      </c>
    </row>
    <row r="73" customFormat="false" ht="15" hidden="false" customHeight="false" outlineLevel="0" collapsed="false">
      <c r="A73" s="66" t="s">
        <v>613</v>
      </c>
      <c r="B73" s="66" t="s">
        <v>614</v>
      </c>
      <c r="C73" s="66" t="s">
        <v>211</v>
      </c>
      <c r="D73" s="66" t="s">
        <v>615</v>
      </c>
      <c r="E73" s="66" t="s">
        <v>324</v>
      </c>
      <c r="F73" s="66" t="s">
        <v>616</v>
      </c>
      <c r="G73" s="66" t="s">
        <v>617</v>
      </c>
      <c r="H73" s="66" t="s">
        <v>192</v>
      </c>
      <c r="I73" s="66" t="s">
        <v>221</v>
      </c>
      <c r="J73" s="67" t="n">
        <v>45960</v>
      </c>
      <c r="K73" s="67" t="n">
        <v>46287</v>
      </c>
      <c r="L73" s="67" t="n">
        <v>46339</v>
      </c>
      <c r="M73" s="66" t="n">
        <v>2</v>
      </c>
      <c r="N73" s="66" t="s">
        <v>106</v>
      </c>
      <c r="O73" s="66" t="s">
        <v>228</v>
      </c>
      <c r="P73" s="66" t="s">
        <v>350</v>
      </c>
    </row>
    <row r="74" customFormat="false" ht="15" hidden="false" customHeight="false" outlineLevel="0" collapsed="false">
      <c r="A74" s="66" t="s">
        <v>618</v>
      </c>
      <c r="B74" s="66" t="s">
        <v>619</v>
      </c>
      <c r="C74" s="66" t="s">
        <v>211</v>
      </c>
      <c r="D74" s="66" t="s">
        <v>620</v>
      </c>
      <c r="E74" s="66" t="s">
        <v>278</v>
      </c>
      <c r="F74" s="66" t="s">
        <v>621</v>
      </c>
      <c r="G74" s="66" t="s">
        <v>622</v>
      </c>
      <c r="H74" s="66" t="s">
        <v>193</v>
      </c>
      <c r="I74" s="66" t="s">
        <v>217</v>
      </c>
      <c r="J74" s="67" t="n">
        <v>46208</v>
      </c>
      <c r="K74" s="67" t="n">
        <v>46278</v>
      </c>
      <c r="L74" s="67" t="n">
        <v>46307</v>
      </c>
      <c r="M74" s="66" t="n">
        <v>4</v>
      </c>
      <c r="N74" s="66" t="s">
        <v>85</v>
      </c>
      <c r="O74" s="66" t="s">
        <v>227</v>
      </c>
      <c r="P74" s="66" t="s">
        <v>287</v>
      </c>
    </row>
    <row r="75" customFormat="false" ht="15" hidden="false" customHeight="false" outlineLevel="0" collapsed="false">
      <c r="A75" s="66" t="s">
        <v>623</v>
      </c>
      <c r="B75" s="66" t="s">
        <v>624</v>
      </c>
      <c r="C75" s="66" t="s">
        <v>211</v>
      </c>
      <c r="D75" s="66" t="s">
        <v>301</v>
      </c>
      <c r="E75" s="66" t="s">
        <v>348</v>
      </c>
      <c r="F75" s="66" t="s">
        <v>625</v>
      </c>
      <c r="G75" s="66"/>
      <c r="H75" s="66" t="s">
        <v>21</v>
      </c>
      <c r="I75" s="66" t="s">
        <v>217</v>
      </c>
      <c r="J75" s="66"/>
      <c r="K75" s="67" t="n">
        <v>46210</v>
      </c>
      <c r="L75" s="66"/>
      <c r="M75" s="66" t="n">
        <v>3</v>
      </c>
      <c r="N75" s="66"/>
      <c r="O75" s="66"/>
      <c r="P75" s="66" t="s">
        <v>262</v>
      </c>
    </row>
    <row r="76" customFormat="false" ht="15" hidden="false" customHeight="false" outlineLevel="0" collapsed="false">
      <c r="A76" s="66" t="s">
        <v>626</v>
      </c>
      <c r="B76" s="66" t="s">
        <v>627</v>
      </c>
      <c r="C76" s="66" t="s">
        <v>211</v>
      </c>
      <c r="D76" s="66" t="s">
        <v>628</v>
      </c>
      <c r="E76" s="66" t="s">
        <v>278</v>
      </c>
      <c r="F76" s="66" t="s">
        <v>629</v>
      </c>
      <c r="G76" s="66" t="s">
        <v>630</v>
      </c>
      <c r="H76" s="66" t="s">
        <v>21</v>
      </c>
      <c r="I76" s="66" t="s">
        <v>218</v>
      </c>
      <c r="J76" s="66"/>
      <c r="K76" s="66"/>
      <c r="L76" s="66"/>
      <c r="M76" s="66" t="n">
        <v>0</v>
      </c>
      <c r="N76" s="66"/>
      <c r="O76" s="66"/>
      <c r="P76" s="66"/>
    </row>
    <row r="77" customFormat="false" ht="15" hidden="false" customHeight="false" outlineLevel="0" collapsed="false">
      <c r="A77" s="66" t="s">
        <v>631</v>
      </c>
      <c r="B77" s="66" t="s">
        <v>632</v>
      </c>
      <c r="C77" s="66" t="s">
        <v>211</v>
      </c>
      <c r="D77" s="66" t="s">
        <v>633</v>
      </c>
      <c r="E77" s="66" t="s">
        <v>265</v>
      </c>
      <c r="F77" s="66" t="s">
        <v>634</v>
      </c>
      <c r="G77" s="66"/>
      <c r="H77" s="66" t="s">
        <v>14</v>
      </c>
      <c r="I77" s="66" t="s">
        <v>218</v>
      </c>
      <c r="J77" s="67" t="n">
        <v>45884</v>
      </c>
      <c r="K77" s="67" t="n">
        <v>46277</v>
      </c>
      <c r="L77" s="67" t="n">
        <v>46321</v>
      </c>
      <c r="M77" s="66" t="n">
        <v>8</v>
      </c>
      <c r="N77" s="66"/>
      <c r="O77" s="66" t="s">
        <v>228</v>
      </c>
      <c r="P77" s="66" t="s">
        <v>405</v>
      </c>
    </row>
    <row r="78" customFormat="false" ht="15" hidden="false" customHeight="false" outlineLevel="0" collapsed="false">
      <c r="A78" s="66" t="s">
        <v>635</v>
      </c>
      <c r="B78" s="66" t="s">
        <v>636</v>
      </c>
      <c r="C78" s="66" t="s">
        <v>212</v>
      </c>
      <c r="D78" s="66" t="s">
        <v>637</v>
      </c>
      <c r="E78" s="66" t="s">
        <v>324</v>
      </c>
      <c r="F78" s="66" t="s">
        <v>638</v>
      </c>
      <c r="G78" s="66"/>
      <c r="H78" s="66" t="s">
        <v>192</v>
      </c>
      <c r="I78" s="66" t="s">
        <v>218</v>
      </c>
      <c r="J78" s="67" t="n">
        <v>45844</v>
      </c>
      <c r="K78" s="67" t="n">
        <v>46276</v>
      </c>
      <c r="L78" s="66"/>
      <c r="M78" s="66"/>
      <c r="N78" s="66" t="s">
        <v>106</v>
      </c>
      <c r="O78" s="66" t="s">
        <v>97</v>
      </c>
      <c r="P78" s="66" t="s">
        <v>315</v>
      </c>
    </row>
    <row r="79" customFormat="false" ht="15" hidden="false" customHeight="false" outlineLevel="0" collapsed="false">
      <c r="A79" s="66" t="s">
        <v>639</v>
      </c>
      <c r="B79" s="66" t="s">
        <v>640</v>
      </c>
      <c r="C79" s="66" t="s">
        <v>212</v>
      </c>
      <c r="D79" s="66" t="s">
        <v>641</v>
      </c>
      <c r="E79" s="66" t="s">
        <v>324</v>
      </c>
      <c r="F79" s="66" t="s">
        <v>642</v>
      </c>
      <c r="G79" s="66" t="s">
        <v>643</v>
      </c>
      <c r="H79" s="66" t="s">
        <v>195</v>
      </c>
      <c r="I79" s="66" t="s">
        <v>220</v>
      </c>
      <c r="J79" s="67" t="n">
        <v>46314</v>
      </c>
      <c r="K79" s="67" t="n">
        <v>45847</v>
      </c>
      <c r="L79" s="67" t="n">
        <v>46380</v>
      </c>
      <c r="M79" s="66" t="n">
        <v>5</v>
      </c>
      <c r="N79" s="66" t="s">
        <v>106</v>
      </c>
      <c r="O79" s="66" t="s">
        <v>105</v>
      </c>
      <c r="P79" s="66" t="s">
        <v>274</v>
      </c>
    </row>
    <row r="80" customFormat="false" ht="15" hidden="false" customHeight="false" outlineLevel="0" collapsed="false">
      <c r="A80" s="66" t="s">
        <v>644</v>
      </c>
      <c r="B80" s="66" t="s">
        <v>645</v>
      </c>
      <c r="C80" s="66" t="s">
        <v>212</v>
      </c>
      <c r="D80" s="66" t="s">
        <v>646</v>
      </c>
      <c r="E80" s="66" t="s">
        <v>336</v>
      </c>
      <c r="F80" s="66"/>
      <c r="G80" s="66" t="s">
        <v>647</v>
      </c>
      <c r="H80" s="66" t="s">
        <v>14</v>
      </c>
      <c r="I80" s="66" t="s">
        <v>219</v>
      </c>
      <c r="J80" s="67" t="n">
        <v>46009</v>
      </c>
      <c r="K80" s="67" t="n">
        <v>46211</v>
      </c>
      <c r="L80" s="66" t="s">
        <v>707</v>
      </c>
      <c r="M80" s="66" t="n">
        <v>10</v>
      </c>
      <c r="N80" s="66" t="s">
        <v>85</v>
      </c>
      <c r="O80" s="66" t="s">
        <v>97</v>
      </c>
      <c r="P80" s="66" t="s">
        <v>281</v>
      </c>
    </row>
    <row r="81" customFormat="false" ht="15" hidden="false" customHeight="false" outlineLevel="0" collapsed="false">
      <c r="A81" s="66" t="s">
        <v>648</v>
      </c>
      <c r="B81" s="66" t="s">
        <v>649</v>
      </c>
      <c r="C81" s="66" t="s">
        <v>212</v>
      </c>
      <c r="D81" s="66" t="s">
        <v>650</v>
      </c>
      <c r="E81" s="66" t="s">
        <v>265</v>
      </c>
      <c r="F81" s="66" t="s">
        <v>651</v>
      </c>
      <c r="G81" s="66" t="s">
        <v>652</v>
      </c>
      <c r="H81" s="66" t="s">
        <v>192</v>
      </c>
      <c r="I81" s="66" t="s">
        <v>222</v>
      </c>
      <c r="J81" s="67" t="n">
        <v>45738</v>
      </c>
      <c r="K81" s="67" t="n">
        <v>46206</v>
      </c>
      <c r="L81" s="67" t="n">
        <v>46224</v>
      </c>
      <c r="M81" s="66" t="n">
        <v>1</v>
      </c>
      <c r="N81" s="66"/>
      <c r="O81" s="66" t="s">
        <v>97</v>
      </c>
      <c r="P81" s="66" t="s">
        <v>350</v>
      </c>
    </row>
    <row r="82" customFormat="false" ht="15" hidden="false" customHeight="false" outlineLevel="0" collapsed="false">
      <c r="A82" s="66" t="s">
        <v>40</v>
      </c>
      <c r="B82" s="66" t="s">
        <v>653</v>
      </c>
      <c r="C82" s="66" t="s">
        <v>212</v>
      </c>
      <c r="D82" s="66" t="s">
        <v>654</v>
      </c>
      <c r="E82" s="66" t="s">
        <v>259</v>
      </c>
      <c r="F82" s="66"/>
      <c r="G82" s="66" t="s">
        <v>655</v>
      </c>
      <c r="H82" s="66" t="s">
        <v>193</v>
      </c>
      <c r="I82" s="66" t="s">
        <v>222</v>
      </c>
      <c r="J82" s="66" t="s">
        <v>708</v>
      </c>
      <c r="K82" s="67" t="n">
        <v>46193</v>
      </c>
      <c r="L82" s="67" t="n">
        <v>46242</v>
      </c>
      <c r="M82" s="66" t="n">
        <v>5</v>
      </c>
      <c r="N82" s="66" t="s">
        <v>85</v>
      </c>
      <c r="O82" s="66" t="s">
        <v>97</v>
      </c>
      <c r="P82" s="66" t="s">
        <v>433</v>
      </c>
    </row>
    <row r="83" customFormat="false" ht="15" hidden="false" customHeight="false" outlineLevel="0" collapsed="false">
      <c r="A83" s="66" t="s">
        <v>656</v>
      </c>
      <c r="B83" s="66" t="s">
        <v>657</v>
      </c>
      <c r="C83" s="66" t="s">
        <v>208</v>
      </c>
      <c r="D83" s="66" t="s">
        <v>709</v>
      </c>
      <c r="E83" s="66" t="s">
        <v>336</v>
      </c>
      <c r="F83" s="66" t="s">
        <v>659</v>
      </c>
      <c r="G83" s="66" t="s">
        <v>660</v>
      </c>
      <c r="H83" s="66" t="s">
        <v>194</v>
      </c>
      <c r="I83" s="66" t="s">
        <v>219</v>
      </c>
      <c r="J83" s="67" t="n">
        <v>46192</v>
      </c>
      <c r="K83" s="66" t="s">
        <v>710</v>
      </c>
      <c r="L83" s="67" t="n">
        <v>46312</v>
      </c>
      <c r="M83" s="66" t="n">
        <v>7</v>
      </c>
      <c r="N83" s="66" t="s">
        <v>64</v>
      </c>
      <c r="O83" s="66" t="s">
        <v>97</v>
      </c>
      <c r="P83" s="66" t="s">
        <v>327</v>
      </c>
    </row>
    <row r="84" customFormat="false" ht="15" hidden="false" customHeight="false" outlineLevel="0" collapsed="false">
      <c r="A84" s="66" t="s">
        <v>661</v>
      </c>
      <c r="B84" s="66" t="s">
        <v>662</v>
      </c>
      <c r="C84" s="66" t="s">
        <v>212</v>
      </c>
      <c r="D84" s="66" t="s">
        <v>663</v>
      </c>
      <c r="E84" s="66" t="s">
        <v>336</v>
      </c>
      <c r="F84" s="66" t="s">
        <v>664</v>
      </c>
      <c r="G84" s="66" t="s">
        <v>711</v>
      </c>
      <c r="H84" s="66" t="s">
        <v>192</v>
      </c>
      <c r="I84" s="66" t="s">
        <v>219</v>
      </c>
      <c r="J84" s="67" t="n">
        <v>46092</v>
      </c>
      <c r="K84" s="67" t="n">
        <v>46251</v>
      </c>
      <c r="L84" s="67" t="n">
        <v>46275</v>
      </c>
      <c r="M84" s="66" t="n">
        <v>2</v>
      </c>
      <c r="N84" s="66" t="s">
        <v>106</v>
      </c>
      <c r="O84" s="66" t="s">
        <v>229</v>
      </c>
      <c r="P84" s="66" t="s">
        <v>510</v>
      </c>
    </row>
    <row r="85" customFormat="false" ht="15" hidden="false" customHeight="false" outlineLevel="0" collapsed="false">
      <c r="A85" s="66" t="s">
        <v>666</v>
      </c>
      <c r="B85" s="66" t="s">
        <v>667</v>
      </c>
      <c r="C85" s="66" t="s">
        <v>212</v>
      </c>
      <c r="D85" s="66" t="s">
        <v>668</v>
      </c>
      <c r="E85" s="66" t="s">
        <v>308</v>
      </c>
      <c r="F85" s="66" t="s">
        <v>669</v>
      </c>
      <c r="G85" s="66"/>
      <c r="H85" s="66" t="s">
        <v>21</v>
      </c>
      <c r="I85" s="66" t="s">
        <v>220</v>
      </c>
      <c r="J85" s="66"/>
      <c r="K85" s="66"/>
      <c r="L85" s="66"/>
      <c r="M85" s="66" t="n">
        <v>0</v>
      </c>
      <c r="N85" s="66"/>
      <c r="O85" s="66"/>
      <c r="P85" s="66"/>
    </row>
    <row r="86" customFormat="false" ht="15" hidden="false" customHeight="false" outlineLevel="0" collapsed="false">
      <c r="A86" s="66" t="s">
        <v>586</v>
      </c>
      <c r="B86" s="66" t="s">
        <v>587</v>
      </c>
      <c r="C86" s="66" t="s">
        <v>211</v>
      </c>
      <c r="D86" s="66" t="s">
        <v>704</v>
      </c>
      <c r="E86" s="66" t="s">
        <v>308</v>
      </c>
      <c r="F86" s="66" t="s">
        <v>589</v>
      </c>
      <c r="G86" s="66" t="s">
        <v>590</v>
      </c>
      <c r="H86" s="66" t="s">
        <v>192</v>
      </c>
      <c r="I86" s="66" t="s">
        <v>221</v>
      </c>
      <c r="J86" s="67" t="n">
        <v>45783</v>
      </c>
      <c r="K86" s="66"/>
      <c r="L86" s="67" t="n">
        <v>46340</v>
      </c>
      <c r="M86" s="66" t="n">
        <v>2</v>
      </c>
      <c r="N86" s="66" t="s">
        <v>106</v>
      </c>
      <c r="O86" s="66" t="s">
        <v>227</v>
      </c>
      <c r="P86" s="66" t="s">
        <v>350</v>
      </c>
    </row>
    <row r="87" customFormat="false" ht="15" hidden="false" customHeight="false" outlineLevel="0" collapsed="false">
      <c r="A87" s="66" t="s">
        <v>310</v>
      </c>
      <c r="B87" s="66" t="s">
        <v>311</v>
      </c>
      <c r="C87" s="66" t="s">
        <v>207</v>
      </c>
      <c r="D87" s="66" t="s">
        <v>312</v>
      </c>
      <c r="E87" s="66" t="s">
        <v>265</v>
      </c>
      <c r="F87" s="66" t="s">
        <v>313</v>
      </c>
      <c r="G87" s="66" t="s">
        <v>314</v>
      </c>
      <c r="H87" s="66" t="s">
        <v>676</v>
      </c>
      <c r="I87" s="66" t="s">
        <v>220</v>
      </c>
      <c r="J87" s="67" t="n">
        <v>46005</v>
      </c>
      <c r="K87" s="66"/>
      <c r="L87" s="66"/>
      <c r="M87" s="66" t="n">
        <v>2</v>
      </c>
      <c r="N87" s="66" t="s">
        <v>85</v>
      </c>
      <c r="O87" s="66" t="s">
        <v>228</v>
      </c>
      <c r="P87" s="66" t="s">
        <v>315</v>
      </c>
    </row>
    <row r="88" customFormat="false" ht="15" hidden="false" customHeight="false" outlineLevel="0" collapsed="false">
      <c r="A88" s="66" t="s">
        <v>520</v>
      </c>
      <c r="B88" s="66" t="s">
        <v>521</v>
      </c>
      <c r="C88" s="66" t="s">
        <v>210</v>
      </c>
      <c r="D88" s="66" t="s">
        <v>522</v>
      </c>
      <c r="E88" s="66" t="s">
        <v>348</v>
      </c>
      <c r="F88" s="66" t="s">
        <v>523</v>
      </c>
      <c r="G88" s="66" t="s">
        <v>524</v>
      </c>
      <c r="H88" s="66" t="s">
        <v>21</v>
      </c>
      <c r="I88" s="66"/>
      <c r="J88" s="66"/>
      <c r="K88" s="66"/>
      <c r="L88" s="66"/>
      <c r="M88" s="66" t="n">
        <v>0</v>
      </c>
      <c r="N88" s="66"/>
      <c r="O88" s="66"/>
      <c r="P88" s="66" t="s">
        <v>293</v>
      </c>
    </row>
    <row r="89" customFormat="false" ht="15" hidden="false" customHeight="false" outlineLevel="0" collapsed="false">
      <c r="A89" s="66" t="s">
        <v>454</v>
      </c>
      <c r="B89" s="66" t="s">
        <v>455</v>
      </c>
      <c r="C89" s="66" t="s">
        <v>209</v>
      </c>
      <c r="D89" s="66" t="s">
        <v>456</v>
      </c>
      <c r="E89" s="66" t="s">
        <v>348</v>
      </c>
      <c r="F89" s="66" t="s">
        <v>457</v>
      </c>
      <c r="G89" s="66" t="s">
        <v>458</v>
      </c>
      <c r="H89" s="66" t="s">
        <v>14</v>
      </c>
      <c r="I89" s="66" t="s">
        <v>220</v>
      </c>
      <c r="J89" s="67" t="n">
        <v>45814</v>
      </c>
      <c r="K89" s="67" t="n">
        <v>46244</v>
      </c>
      <c r="L89" s="67" t="n">
        <v>46306</v>
      </c>
      <c r="M89" s="66" t="n">
        <v>16</v>
      </c>
      <c r="N89" s="66" t="s">
        <v>64</v>
      </c>
      <c r="O89" s="66" t="s">
        <v>227</v>
      </c>
      <c r="P89" s="66" t="s">
        <v>384</v>
      </c>
    </row>
    <row r="90" customFormat="false" ht="15" hidden="false" customHeight="false" outlineLevel="0" collapsed="false">
      <c r="A90" s="66" t="s">
        <v>712</v>
      </c>
      <c r="B90" s="66" t="s">
        <v>713</v>
      </c>
      <c r="C90" s="66" t="s">
        <v>211</v>
      </c>
      <c r="D90" s="66" t="s">
        <v>714</v>
      </c>
      <c r="E90" s="66" t="s">
        <v>336</v>
      </c>
      <c r="F90" s="66" t="s">
        <v>584</v>
      </c>
      <c r="G90" s="66" t="s">
        <v>585</v>
      </c>
      <c r="H90" s="66" t="s">
        <v>14</v>
      </c>
      <c r="I90" s="66" t="s">
        <v>217</v>
      </c>
      <c r="J90" s="67" t="n">
        <v>45797</v>
      </c>
      <c r="K90" s="67" t="n">
        <v>46285</v>
      </c>
      <c r="L90" s="67" t="n">
        <v>46333</v>
      </c>
      <c r="M90" s="66" t="n">
        <v>9</v>
      </c>
      <c r="N90" s="66"/>
      <c r="O90" s="66" t="s">
        <v>227</v>
      </c>
      <c r="P90" s="66" t="s">
        <v>715</v>
      </c>
    </row>
    <row r="91" customFormat="false" ht="15" hidden="false" customHeight="false" outlineLevel="0" collapsed="false">
      <c r="A91" s="66" t="s">
        <v>716</v>
      </c>
      <c r="B91" s="66" t="s">
        <v>395</v>
      </c>
      <c r="C91" s="66" t="s">
        <v>208</v>
      </c>
      <c r="D91" s="66" t="s">
        <v>717</v>
      </c>
      <c r="E91" s="66" t="s">
        <v>259</v>
      </c>
      <c r="F91" s="66" t="s">
        <v>397</v>
      </c>
      <c r="G91" s="66" t="s">
        <v>398</v>
      </c>
      <c r="H91" s="66" t="s">
        <v>196</v>
      </c>
      <c r="I91" s="66" t="s">
        <v>222</v>
      </c>
      <c r="J91" s="67" t="n">
        <v>45811</v>
      </c>
      <c r="K91" s="67" t="n">
        <v>46216</v>
      </c>
      <c r="L91" s="66"/>
      <c r="M91" s="66" t="n">
        <v>2</v>
      </c>
      <c r="N91" s="66" t="s">
        <v>106</v>
      </c>
      <c r="O91" s="66" t="s">
        <v>97</v>
      </c>
      <c r="P91" s="66" t="s">
        <v>715</v>
      </c>
    </row>
    <row r="92" customFormat="false" ht="15" hidden="false" customHeight="false" outlineLevel="0" collapsed="false">
      <c r="A92" s="66" t="s">
        <v>718</v>
      </c>
      <c r="B92" s="66" t="s">
        <v>719</v>
      </c>
      <c r="C92" s="66" t="s">
        <v>210</v>
      </c>
      <c r="D92" s="66" t="s">
        <v>720</v>
      </c>
      <c r="E92" s="66" t="s">
        <v>308</v>
      </c>
      <c r="F92" s="66" t="s">
        <v>530</v>
      </c>
      <c r="G92" s="66" t="s">
        <v>698</v>
      </c>
      <c r="H92" s="66" t="s">
        <v>14</v>
      </c>
      <c r="I92" s="66" t="s">
        <v>217</v>
      </c>
      <c r="J92" s="67" t="n">
        <v>46292</v>
      </c>
      <c r="K92" s="67" t="n">
        <v>45970</v>
      </c>
      <c r="L92" s="67" t="n">
        <v>46290</v>
      </c>
      <c r="M92" s="66" t="n">
        <v>6</v>
      </c>
      <c r="N92" s="66" t="s">
        <v>64</v>
      </c>
      <c r="O92" s="66" t="s">
        <v>105</v>
      </c>
      <c r="P92" s="66" t="s">
        <v>715</v>
      </c>
    </row>
  </sheetData>
  <autoFilter ref="A1:P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V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22" min="3" style="0" width="13"/>
  </cols>
  <sheetData>
    <row r="1" customFormat="false" ht="54" hidden="false" customHeight="true" outlineLevel="0" collapsed="false">
      <c r="A1" s="41" t="s">
        <v>721</v>
      </c>
      <c r="B1" s="41" t="s">
        <v>68</v>
      </c>
      <c r="C1" s="41" t="s">
        <v>722</v>
      </c>
      <c r="D1" s="41" t="s">
        <v>84</v>
      </c>
      <c r="E1" s="41" t="s">
        <v>723</v>
      </c>
      <c r="F1" s="41" t="s">
        <v>724</v>
      </c>
      <c r="G1" s="41" t="s">
        <v>96</v>
      </c>
      <c r="H1" s="41" t="s">
        <v>725</v>
      </c>
      <c r="I1" s="41" t="s">
        <v>104</v>
      </c>
      <c r="J1" s="41" t="s">
        <v>726</v>
      </c>
      <c r="K1" s="41" t="s">
        <v>727</v>
      </c>
      <c r="L1" s="41" t="s">
        <v>728</v>
      </c>
      <c r="M1" s="41" t="s">
        <v>729</v>
      </c>
      <c r="N1" s="41" t="s">
        <v>730</v>
      </c>
      <c r="O1" s="41" t="s">
        <v>731</v>
      </c>
      <c r="P1" s="41" t="s">
        <v>732</v>
      </c>
      <c r="Q1" s="41" t="s">
        <v>733</v>
      </c>
      <c r="R1" s="41" t="s">
        <v>734</v>
      </c>
      <c r="S1" s="41" t="s">
        <v>735</v>
      </c>
      <c r="T1" s="41" t="s">
        <v>72</v>
      </c>
      <c r="U1" s="41" t="s">
        <v>736</v>
      </c>
      <c r="V1" s="41" t="s">
        <v>737</v>
      </c>
    </row>
    <row r="2" customFormat="false" ht="15" hidden="false" customHeight="false" outlineLevel="0" collapsed="false">
      <c r="A2" s="66" t="n">
        <f aca="false">ROW()-1</f>
        <v>1</v>
      </c>
      <c r="B2" s="66" t="str">
        <f aca="false">IF(TRIM(Raw_Data!A2)="","(blank)",Raw_Data!A2)</f>
        <v>EMB-001</v>
      </c>
      <c r="C2" s="68" t="n">
        <f aca="false">IF(SUMPRODUCT(--EXACT(Raw_Data!B2,Lists!$E$2:$E$85))=0,1,0)</f>
        <v>1</v>
      </c>
      <c r="D2" s="68" t="n">
        <f aca="false">IF(TRIM(Raw_Data!C2)="",1,0)</f>
        <v>0</v>
      </c>
      <c r="E2" s="68" t="n">
        <f aca="false">IF(AND(TRIM(Raw_Data!C2)&lt;&gt;"",SUMPRODUCT(--EXACT(Raw_Data!C2,Lists!$C$2:$C$7))=0),1,0)</f>
        <v>0</v>
      </c>
      <c r="F2" s="68" t="n">
        <f aca="false">IF(SUMPRODUCT(--EXACT(Raw_Data!H2,Lists!$A$2:$A$8))=0,1,0)</f>
        <v>0</v>
      </c>
      <c r="G2" s="68" t="n">
        <f aca="false">IF(TRIM(Raw_Data!F2)="",1,0)</f>
        <v>0</v>
      </c>
      <c r="H2" s="68" t="n">
        <f aca="false">IF(G2=1,0,IF(IFERROR(FIND(".",Raw_Data!F2,FIND("@",Raw_Data!F2)),0)&gt;0,0,1))</f>
        <v>0</v>
      </c>
      <c r="I2" s="68" t="n">
        <f aca="false">IF(TRIM(Raw_Data!G2)="",1,0)</f>
        <v>0</v>
      </c>
      <c r="J2" s="68" t="n">
        <f aca="false">IF(I2=1,0,IF(OR(AND(LEFT(Raw_Data!G2,4)="+91 ",LEN(Raw_Data!G2)=15),AND(LEFT(Raw_Data!G2,7)="+91 11 ",LEN(Raw_Data!G2)=16)),0,1))</f>
        <v>0</v>
      </c>
      <c r="K2" s="68" t="n">
        <f aca="false">IF(TRIM(Raw_Data!I2)="",1,0)</f>
        <v>0</v>
      </c>
      <c r="L2" s="68" t="n">
        <f aca="false">IF(AND(TRIM(Raw_Data!N2)="",ISERROR(SEARCH("not started",Raw_Data!H2))),1,0)</f>
        <v>0</v>
      </c>
      <c r="M2" s="68" t="n">
        <f aca="false">IF(OR(ISTEXT(Raw_Data!J2),ISTEXT(Raw_Data!K2),ISTEXT(Raw_Data!L2)),1,0)</f>
        <v>0</v>
      </c>
      <c r="N2" s="68" t="n">
        <f aca="false">IF(Raw_Data!M2="",1,0)</f>
        <v>0</v>
      </c>
      <c r="O2" s="68" t="n">
        <f aca="false">IF(AND(ISNUMBER(Raw_Data!M2),Raw_Data!M2&lt;0),1,0)</f>
        <v>0</v>
      </c>
      <c r="P2" s="68" t="n">
        <f aca="false">IF(OR(Raw_Data!B2&lt;&gt;TRIM(Raw_Data!B2),Raw_Data!D2&lt;&gt;TRIM(Raw_Data!D2)),1,0)</f>
        <v>0</v>
      </c>
      <c r="Q2" s="68" t="n">
        <f aca="false">IF(AND(TRIM(Raw_Data!A2)&lt;&gt;"",COUNTIF(Raw_Data!$A$2:$A$92,Raw_Data!A2)&gt;1),1,0)</f>
        <v>0</v>
      </c>
      <c r="R2" s="68" t="n">
        <f aca="false">IF(AND(ISNUMBER(SEARCH("not started",Raw_Data!H2)),OR(N(Raw_Data!M2)&gt;0,Raw_Data!K2&lt;&gt;"")),1,0)</f>
        <v>0</v>
      </c>
      <c r="S2" s="68" t="n">
        <f aca="false">IF(AND(ISERROR(SEARCH("not started",Raw_Data!H2)),Raw_Data!K2=""),1,0)</f>
        <v>0</v>
      </c>
      <c r="T2" s="68" t="n">
        <f aca="false">IF(TRIM(Raw_Data!A2)="",1,0)</f>
        <v>0</v>
      </c>
      <c r="U2" s="68" t="n">
        <f aca="false">IF(OR(D2=1,E2=1),0,IF(IFERROR(INDEX(Lists!$F$2:$F$85,MATCH(TRIM(Raw_Data!B2),Lists!$E$2:$E$85,0)),Raw_Data!C2)=Raw_Data!C2,0,1))</f>
        <v>0</v>
      </c>
      <c r="V2" s="68" t="n">
        <f aca="false">IF(SUM(C2:U2)&gt;0,1,0)</f>
        <v>1</v>
      </c>
    </row>
    <row r="3" customFormat="false" ht="15" hidden="false" customHeight="false" outlineLevel="0" collapsed="false">
      <c r="A3" s="66" t="n">
        <f aca="false">ROW()-1</f>
        <v>2</v>
      </c>
      <c r="B3" s="66" t="str">
        <f aca="false">IF(TRIM(Raw_Data!A3)="","(blank)",Raw_Data!A3)</f>
        <v>EMB-002</v>
      </c>
      <c r="C3" s="68" t="n">
        <f aca="false">IF(SUMPRODUCT(--EXACT(Raw_Data!B3,Lists!$E$2:$E$85))=0,1,0)</f>
        <v>1</v>
      </c>
      <c r="D3" s="68" t="n">
        <f aca="false">IF(TRIM(Raw_Data!C3)="",1,0)</f>
        <v>0</v>
      </c>
      <c r="E3" s="68" t="n">
        <f aca="false">IF(AND(TRIM(Raw_Data!C3)&lt;&gt;"",SUMPRODUCT(--EXACT(Raw_Data!C3,Lists!$C$2:$C$7))=0),1,0)</f>
        <v>0</v>
      </c>
      <c r="F3" s="68" t="n">
        <f aca="false">IF(SUMPRODUCT(--EXACT(Raw_Data!H3,Lists!$A$2:$A$8))=0,1,0)</f>
        <v>1</v>
      </c>
      <c r="G3" s="68" t="n">
        <f aca="false">IF(TRIM(Raw_Data!F3)="",1,0)</f>
        <v>0</v>
      </c>
      <c r="H3" s="68" t="n">
        <f aca="false">IF(G3=1,0,IF(IFERROR(FIND(".",Raw_Data!F3,FIND("@",Raw_Data!F3)),0)&gt;0,0,1))</f>
        <v>0</v>
      </c>
      <c r="I3" s="68" t="n">
        <f aca="false">IF(TRIM(Raw_Data!G3)="",1,0)</f>
        <v>0</v>
      </c>
      <c r="J3" s="68" t="n">
        <f aca="false">IF(I3=1,0,IF(OR(AND(LEFT(Raw_Data!G3,4)="+91 ",LEN(Raw_Data!G3)=15),AND(LEFT(Raw_Data!G3,7)="+91 11 ",LEN(Raw_Data!G3)=16)),0,1))</f>
        <v>1</v>
      </c>
      <c r="K3" s="68" t="n">
        <f aca="false">IF(TRIM(Raw_Data!I3)="",1,0)</f>
        <v>0</v>
      </c>
      <c r="L3" s="68" t="n">
        <f aca="false">IF(AND(TRIM(Raw_Data!N3)="",ISERROR(SEARCH("not started",Raw_Data!H3))),1,0)</f>
        <v>0</v>
      </c>
      <c r="M3" s="68" t="n">
        <f aca="false">IF(OR(ISTEXT(Raw_Data!J3),ISTEXT(Raw_Data!K3),ISTEXT(Raw_Data!L3)),1,0)</f>
        <v>0</v>
      </c>
      <c r="N3" s="68" t="n">
        <f aca="false">IF(Raw_Data!M3="",1,0)</f>
        <v>0</v>
      </c>
      <c r="O3" s="68" t="n">
        <f aca="false">IF(AND(ISNUMBER(Raw_Data!M3),Raw_Data!M3&lt;0),1,0)</f>
        <v>0</v>
      </c>
      <c r="P3" s="68" t="n">
        <f aca="false">IF(OR(Raw_Data!B3&lt;&gt;TRIM(Raw_Data!B3),Raw_Data!D3&lt;&gt;TRIM(Raw_Data!D3)),1,0)</f>
        <v>1</v>
      </c>
      <c r="Q3" s="68" t="n">
        <f aca="false">IF(AND(TRIM(Raw_Data!A3)&lt;&gt;"",COUNTIF(Raw_Data!$A$2:$A$92,Raw_Data!A3)&gt;1),1,0)</f>
        <v>0</v>
      </c>
      <c r="R3" s="68" t="n">
        <f aca="false">IF(AND(ISNUMBER(SEARCH("not started",Raw_Data!H3)),OR(N(Raw_Data!M3)&gt;0,Raw_Data!K3&lt;&gt;"")),1,0)</f>
        <v>0</v>
      </c>
      <c r="S3" s="68" t="n">
        <f aca="false">IF(AND(ISERROR(SEARCH("not started",Raw_Data!H3)),Raw_Data!K3=""),1,0)</f>
        <v>0</v>
      </c>
      <c r="T3" s="68" t="n">
        <f aca="false">IF(TRIM(Raw_Data!A3)="",1,0)</f>
        <v>0</v>
      </c>
      <c r="U3" s="68" t="n">
        <f aca="false">IF(OR(D3=1,E3=1),0,IF(IFERROR(INDEX(Lists!$F$2:$F$85,MATCH(TRIM(Raw_Data!B3),Lists!$E$2:$E$85,0)),Raw_Data!C3)=Raw_Data!C3,0,1))</f>
        <v>0</v>
      </c>
      <c r="V3" s="68" t="n">
        <f aca="false">IF(SUM(C3:U3)&gt;0,1,0)</f>
        <v>1</v>
      </c>
    </row>
    <row r="4" customFormat="false" ht="15" hidden="false" customHeight="false" outlineLevel="0" collapsed="false">
      <c r="A4" s="66" t="n">
        <f aca="false">ROW()-1</f>
        <v>3</v>
      </c>
      <c r="B4" s="66" t="str">
        <f aca="false">IF(TRIM(Raw_Data!A4)="","(blank)",Raw_Data!A4)</f>
        <v>EMB-003</v>
      </c>
      <c r="C4" s="68" t="n">
        <f aca="false">IF(SUMPRODUCT(--EXACT(Raw_Data!B4,Lists!$E$2:$E$85))=0,1,0)</f>
        <v>0</v>
      </c>
      <c r="D4" s="68" t="n">
        <f aca="false">IF(TRIM(Raw_Data!C4)="",1,0)</f>
        <v>1</v>
      </c>
      <c r="E4" s="68" t="n">
        <f aca="false">IF(AND(TRIM(Raw_Data!C4)&lt;&gt;"",SUMPRODUCT(--EXACT(Raw_Data!C4,Lists!$C$2:$C$7))=0),1,0)</f>
        <v>0</v>
      </c>
      <c r="F4" s="68" t="n">
        <f aca="false">IF(SUMPRODUCT(--EXACT(Raw_Data!H4,Lists!$A$2:$A$8))=0,1,0)</f>
        <v>0</v>
      </c>
      <c r="G4" s="68" t="n">
        <f aca="false">IF(TRIM(Raw_Data!F4)="",1,0)</f>
        <v>0</v>
      </c>
      <c r="H4" s="68" t="n">
        <f aca="false">IF(G4=1,0,IF(IFERROR(FIND(".",Raw_Data!F4,FIND("@",Raw_Data!F4)),0)&gt;0,0,1))</f>
        <v>0</v>
      </c>
      <c r="I4" s="68" t="n">
        <f aca="false">IF(TRIM(Raw_Data!G4)="",1,0)</f>
        <v>0</v>
      </c>
      <c r="J4" s="68" t="n">
        <f aca="false">IF(I4=1,0,IF(OR(AND(LEFT(Raw_Data!G4,4)="+91 ",LEN(Raw_Data!G4)=15),AND(LEFT(Raw_Data!G4,7)="+91 11 ",LEN(Raw_Data!G4)=16)),0,1))</f>
        <v>0</v>
      </c>
      <c r="K4" s="68" t="n">
        <f aca="false">IF(TRIM(Raw_Data!I4)="",1,0)</f>
        <v>0</v>
      </c>
      <c r="L4" s="68" t="n">
        <f aca="false">IF(AND(TRIM(Raw_Data!N4)="",ISERROR(SEARCH("not started",Raw_Data!H4))),1,0)</f>
        <v>1</v>
      </c>
      <c r="M4" s="68" t="n">
        <f aca="false">IF(OR(ISTEXT(Raw_Data!J4),ISTEXT(Raw_Data!K4),ISTEXT(Raw_Data!L4)),1,0)</f>
        <v>0</v>
      </c>
      <c r="N4" s="68" t="n">
        <f aca="false">IF(Raw_Data!M4="",1,0)</f>
        <v>0</v>
      </c>
      <c r="O4" s="68" t="n">
        <f aca="false">IF(AND(ISNUMBER(Raw_Data!M4),Raw_Data!M4&lt;0),1,0)</f>
        <v>0</v>
      </c>
      <c r="P4" s="68" t="n">
        <f aca="false">IF(OR(Raw_Data!B4&lt;&gt;TRIM(Raw_Data!B4),Raw_Data!D4&lt;&gt;TRIM(Raw_Data!D4)),1,0)</f>
        <v>0</v>
      </c>
      <c r="Q4" s="68" t="n">
        <f aca="false">IF(AND(TRIM(Raw_Data!A4)&lt;&gt;"",COUNTIF(Raw_Data!$A$2:$A$92,Raw_Data!A4)&gt;1),1,0)</f>
        <v>0</v>
      </c>
      <c r="R4" s="68" t="n">
        <f aca="false">IF(AND(ISNUMBER(SEARCH("not started",Raw_Data!H4)),OR(N(Raw_Data!M4)&gt;0,Raw_Data!K4&lt;&gt;"")),1,0)</f>
        <v>0</v>
      </c>
      <c r="S4" s="68" t="n">
        <f aca="false">IF(AND(ISERROR(SEARCH("not started",Raw_Data!H4)),Raw_Data!K4=""),1,0)</f>
        <v>0</v>
      </c>
      <c r="T4" s="68" t="n">
        <f aca="false">IF(TRIM(Raw_Data!A4)="",1,0)</f>
        <v>0</v>
      </c>
      <c r="U4" s="68" t="n">
        <f aca="false">IF(OR(D4=1,E4=1),0,IF(IFERROR(INDEX(Lists!$F$2:$F$85,MATCH(TRIM(Raw_Data!B4),Lists!$E$2:$E$85,0)),Raw_Data!C4)=Raw_Data!C4,0,1))</f>
        <v>0</v>
      </c>
      <c r="V4" s="68" t="n">
        <f aca="false">IF(SUM(C4:U4)&gt;0,1,0)</f>
        <v>1</v>
      </c>
    </row>
    <row r="5" customFormat="false" ht="15" hidden="false" customHeight="false" outlineLevel="0" collapsed="false">
      <c r="A5" s="66" t="n">
        <f aca="false">ROW()-1</f>
        <v>4</v>
      </c>
      <c r="B5" s="66" t="str">
        <f aca="false">IF(TRIM(Raw_Data!A5)="","(blank)",Raw_Data!A5)</f>
        <v>EMB-004</v>
      </c>
      <c r="C5" s="68" t="n">
        <f aca="false">IF(SUMPRODUCT(--EXACT(Raw_Data!B5,Lists!$E$2:$E$85))=0,1,0)</f>
        <v>0</v>
      </c>
      <c r="D5" s="68" t="n">
        <f aca="false">IF(TRIM(Raw_Data!C5)="",1,0)</f>
        <v>0</v>
      </c>
      <c r="E5" s="68" t="n">
        <f aca="false">IF(AND(TRIM(Raw_Data!C5)&lt;&gt;"",SUMPRODUCT(--EXACT(Raw_Data!C5,Lists!$C$2:$C$7))=0),1,0)</f>
        <v>0</v>
      </c>
      <c r="F5" s="68" t="n">
        <f aca="false">IF(SUMPRODUCT(--EXACT(Raw_Data!H5,Lists!$A$2:$A$8))=0,1,0)</f>
        <v>0</v>
      </c>
      <c r="G5" s="68" t="n">
        <f aca="false">IF(TRIM(Raw_Data!F5)="",1,0)</f>
        <v>0</v>
      </c>
      <c r="H5" s="68" t="n">
        <f aca="false">IF(G5=1,0,IF(IFERROR(FIND(".",Raw_Data!F5,FIND("@",Raw_Data!F5)),0)&gt;0,0,1))</f>
        <v>0</v>
      </c>
      <c r="I5" s="68" t="n">
        <f aca="false">IF(TRIM(Raw_Data!G5)="",1,0)</f>
        <v>0</v>
      </c>
      <c r="J5" s="68" t="n">
        <f aca="false">IF(I5=1,0,IF(OR(AND(LEFT(Raw_Data!G5,4)="+91 ",LEN(Raw_Data!G5)=15),AND(LEFT(Raw_Data!G5,7)="+91 11 ",LEN(Raw_Data!G5)=16)),0,1))</f>
        <v>0</v>
      </c>
      <c r="K5" s="68" t="n">
        <f aca="false">IF(TRIM(Raw_Data!I5)="",1,0)</f>
        <v>0</v>
      </c>
      <c r="L5" s="68" t="n">
        <f aca="false">IF(AND(TRIM(Raw_Data!N5)="",ISERROR(SEARCH("not started",Raw_Data!H5))),1,0)</f>
        <v>0</v>
      </c>
      <c r="M5" s="68" t="n">
        <f aca="false">IF(OR(ISTEXT(Raw_Data!J5),ISTEXT(Raw_Data!K5),ISTEXT(Raw_Data!L5)),1,0)</f>
        <v>0</v>
      </c>
      <c r="N5" s="68" t="n">
        <f aca="false">IF(Raw_Data!M5="",1,0)</f>
        <v>0</v>
      </c>
      <c r="O5" s="68" t="n">
        <f aca="false">IF(AND(ISNUMBER(Raw_Data!M5),Raw_Data!M5&lt;0),1,0)</f>
        <v>0</v>
      </c>
      <c r="P5" s="68" t="n">
        <f aca="false">IF(OR(Raw_Data!B5&lt;&gt;TRIM(Raw_Data!B5),Raw_Data!D5&lt;&gt;TRIM(Raw_Data!D5)),1,0)</f>
        <v>0</v>
      </c>
      <c r="Q5" s="68" t="n">
        <f aca="false">IF(AND(TRIM(Raw_Data!A5)&lt;&gt;"",COUNTIF(Raw_Data!$A$2:$A$92,Raw_Data!A5)&gt;1),1,0)</f>
        <v>0</v>
      </c>
      <c r="R5" s="68" t="n">
        <f aca="false">IF(AND(ISNUMBER(SEARCH("not started",Raw_Data!H5)),OR(N(Raw_Data!M5)&gt;0,Raw_Data!K5&lt;&gt;"")),1,0)</f>
        <v>0</v>
      </c>
      <c r="S5" s="68" t="n">
        <f aca="false">IF(AND(ISERROR(SEARCH("not started",Raw_Data!H5)),Raw_Data!K5=""),1,0)</f>
        <v>0</v>
      </c>
      <c r="T5" s="68" t="n">
        <f aca="false">IF(TRIM(Raw_Data!A5)="",1,0)</f>
        <v>0</v>
      </c>
      <c r="U5" s="68" t="n">
        <f aca="false">IF(OR(D5=1,E5=1),0,IF(IFERROR(INDEX(Lists!$F$2:$F$85,MATCH(TRIM(Raw_Data!B5),Lists!$E$2:$E$85,0)),Raw_Data!C5)=Raw_Data!C5,0,1))</f>
        <v>0</v>
      </c>
      <c r="V5" s="68" t="n">
        <f aca="false">IF(SUM(C5:U5)&gt;0,1,0)</f>
        <v>0</v>
      </c>
    </row>
    <row r="6" customFormat="false" ht="15" hidden="false" customHeight="false" outlineLevel="0" collapsed="false">
      <c r="A6" s="66" t="n">
        <f aca="false">ROW()-1</f>
        <v>5</v>
      </c>
      <c r="B6" s="66" t="str">
        <f aca="false">IF(TRIM(Raw_Data!A6)="","(blank)",Raw_Data!A6)</f>
        <v>EMB-005</v>
      </c>
      <c r="C6" s="68" t="n">
        <f aca="false">IF(SUMPRODUCT(--EXACT(Raw_Data!B6,Lists!$E$2:$E$85))=0,1,0)</f>
        <v>0</v>
      </c>
      <c r="D6" s="68" t="n">
        <f aca="false">IF(TRIM(Raw_Data!C6)="",1,0)</f>
        <v>0</v>
      </c>
      <c r="E6" s="68" t="n">
        <f aca="false">IF(AND(TRIM(Raw_Data!C6)&lt;&gt;"",SUMPRODUCT(--EXACT(Raw_Data!C6,Lists!$C$2:$C$7))=0),1,0)</f>
        <v>0</v>
      </c>
      <c r="F6" s="68" t="n">
        <f aca="false">IF(SUMPRODUCT(--EXACT(Raw_Data!H6,Lists!$A$2:$A$8))=0,1,0)</f>
        <v>0</v>
      </c>
      <c r="G6" s="68" t="n">
        <f aca="false">IF(TRIM(Raw_Data!F6)="",1,0)</f>
        <v>0</v>
      </c>
      <c r="H6" s="68" t="n">
        <f aca="false">IF(G6=1,0,IF(IFERROR(FIND(".",Raw_Data!F6,FIND("@",Raw_Data!F6)),0)&gt;0,0,1))</f>
        <v>0</v>
      </c>
      <c r="I6" s="68" t="n">
        <f aca="false">IF(TRIM(Raw_Data!G6)="",1,0)</f>
        <v>0</v>
      </c>
      <c r="J6" s="68" t="n">
        <f aca="false">IF(I6=1,0,IF(OR(AND(LEFT(Raw_Data!G6,4)="+91 ",LEN(Raw_Data!G6)=15),AND(LEFT(Raw_Data!G6,7)="+91 11 ",LEN(Raw_Data!G6)=16)),0,1))</f>
        <v>0</v>
      </c>
      <c r="K6" s="68" t="n">
        <f aca="false">IF(TRIM(Raw_Data!I6)="",1,0)</f>
        <v>0</v>
      </c>
      <c r="L6" s="68" t="n">
        <f aca="false">IF(AND(TRIM(Raw_Data!N6)="",ISERROR(SEARCH("not started",Raw_Data!H6))),1,0)</f>
        <v>0</v>
      </c>
      <c r="M6" s="68" t="n">
        <f aca="false">IF(OR(ISTEXT(Raw_Data!J6),ISTEXT(Raw_Data!K6),ISTEXT(Raw_Data!L6)),1,0)</f>
        <v>0</v>
      </c>
      <c r="N6" s="68" t="n">
        <f aca="false">IF(Raw_Data!M6="",1,0)</f>
        <v>0</v>
      </c>
      <c r="O6" s="68" t="n">
        <f aca="false">IF(AND(ISNUMBER(Raw_Data!M6),Raw_Data!M6&lt;0),1,0)</f>
        <v>0</v>
      </c>
      <c r="P6" s="68" t="n">
        <f aca="false">IF(OR(Raw_Data!B6&lt;&gt;TRIM(Raw_Data!B6),Raw_Data!D6&lt;&gt;TRIM(Raw_Data!D6)),1,0)</f>
        <v>0</v>
      </c>
      <c r="Q6" s="68" t="n">
        <f aca="false">IF(AND(TRIM(Raw_Data!A6)&lt;&gt;"",COUNTIF(Raw_Data!$A$2:$A$92,Raw_Data!A6)&gt;1),1,0)</f>
        <v>0</v>
      </c>
      <c r="R6" s="68" t="n">
        <f aca="false">IF(AND(ISNUMBER(SEARCH("not started",Raw_Data!H6)),OR(N(Raw_Data!M6)&gt;0,Raw_Data!K6&lt;&gt;"")),1,0)</f>
        <v>0</v>
      </c>
      <c r="S6" s="68" t="n">
        <f aca="false">IF(AND(ISERROR(SEARCH("not started",Raw_Data!H6)),Raw_Data!K6=""),1,0)</f>
        <v>0</v>
      </c>
      <c r="T6" s="68" t="n">
        <f aca="false">IF(TRIM(Raw_Data!A6)="",1,0)</f>
        <v>0</v>
      </c>
      <c r="U6" s="68" t="n">
        <f aca="false">IF(OR(D6=1,E6=1),0,IF(IFERROR(INDEX(Lists!$F$2:$F$85,MATCH(TRIM(Raw_Data!B6),Lists!$E$2:$E$85,0)),Raw_Data!C6)=Raw_Data!C6,0,1))</f>
        <v>0</v>
      </c>
      <c r="V6" s="68" t="n">
        <f aca="false">IF(SUM(C6:U6)&gt;0,1,0)</f>
        <v>0</v>
      </c>
    </row>
    <row r="7" customFormat="false" ht="15" hidden="false" customHeight="false" outlineLevel="0" collapsed="false">
      <c r="A7" s="66" t="n">
        <f aca="false">ROW()-1</f>
        <v>6</v>
      </c>
      <c r="B7" s="66" t="str">
        <f aca="false">IF(TRIM(Raw_Data!A7)="","(blank)",Raw_Data!A7)</f>
        <v>EMB-006</v>
      </c>
      <c r="C7" s="68" t="n">
        <f aca="false">IF(SUMPRODUCT(--EXACT(Raw_Data!B7,Lists!$E$2:$E$85))=0,1,0)</f>
        <v>0</v>
      </c>
      <c r="D7" s="68" t="n">
        <f aca="false">IF(TRIM(Raw_Data!C7)="",1,0)</f>
        <v>0</v>
      </c>
      <c r="E7" s="68" t="n">
        <f aca="false">IF(AND(TRIM(Raw_Data!C7)&lt;&gt;"",SUMPRODUCT(--EXACT(Raw_Data!C7,Lists!$C$2:$C$7))=0),1,0)</f>
        <v>0</v>
      </c>
      <c r="F7" s="68" t="n">
        <f aca="false">IF(SUMPRODUCT(--EXACT(Raw_Data!H7,Lists!$A$2:$A$8))=0,1,0)</f>
        <v>1</v>
      </c>
      <c r="G7" s="68" t="n">
        <f aca="false">IF(TRIM(Raw_Data!F7)="",1,0)</f>
        <v>0</v>
      </c>
      <c r="H7" s="68" t="n">
        <f aca="false">IF(G7=1,0,IF(IFERROR(FIND(".",Raw_Data!F7,FIND("@",Raw_Data!F7)),0)&gt;0,0,1))</f>
        <v>0</v>
      </c>
      <c r="I7" s="68" t="n">
        <f aca="false">IF(TRIM(Raw_Data!G7)="",1,0)</f>
        <v>0</v>
      </c>
      <c r="J7" s="68" t="n">
        <f aca="false">IF(I7=1,0,IF(OR(AND(LEFT(Raw_Data!G7,4)="+91 ",LEN(Raw_Data!G7)=15),AND(LEFT(Raw_Data!G7,7)="+91 11 ",LEN(Raw_Data!G7)=16)),0,1))</f>
        <v>0</v>
      </c>
      <c r="K7" s="68" t="n">
        <f aca="false">IF(TRIM(Raw_Data!I7)="",1,0)</f>
        <v>0</v>
      </c>
      <c r="L7" s="68" t="n">
        <f aca="false">IF(AND(TRIM(Raw_Data!N7)="",ISERROR(SEARCH("not started",Raw_Data!H7))),1,0)</f>
        <v>0</v>
      </c>
      <c r="M7" s="68" t="n">
        <f aca="false">IF(OR(ISTEXT(Raw_Data!J7),ISTEXT(Raw_Data!K7),ISTEXT(Raw_Data!L7)),1,0)</f>
        <v>0</v>
      </c>
      <c r="N7" s="68" t="n">
        <f aca="false">IF(Raw_Data!M7="",1,0)</f>
        <v>0</v>
      </c>
      <c r="O7" s="68" t="n">
        <f aca="false">IF(AND(ISNUMBER(Raw_Data!M7),Raw_Data!M7&lt;0),1,0)</f>
        <v>0</v>
      </c>
      <c r="P7" s="68" t="n">
        <f aca="false">IF(OR(Raw_Data!B7&lt;&gt;TRIM(Raw_Data!B7),Raw_Data!D7&lt;&gt;TRIM(Raw_Data!D7)),1,0)</f>
        <v>0</v>
      </c>
      <c r="Q7" s="68" t="n">
        <f aca="false">IF(AND(TRIM(Raw_Data!A7)&lt;&gt;"",COUNTIF(Raw_Data!$A$2:$A$92,Raw_Data!A7)&gt;1),1,0)</f>
        <v>0</v>
      </c>
      <c r="R7" s="68" t="n">
        <f aca="false">IF(AND(ISNUMBER(SEARCH("not started",Raw_Data!H7)),OR(N(Raw_Data!M7)&gt;0,Raw_Data!K7&lt;&gt;"")),1,0)</f>
        <v>1</v>
      </c>
      <c r="S7" s="68" t="n">
        <f aca="false">IF(AND(ISERROR(SEARCH("not started",Raw_Data!H7)),Raw_Data!K7=""),1,0)</f>
        <v>0</v>
      </c>
      <c r="T7" s="68" t="n">
        <f aca="false">IF(TRIM(Raw_Data!A7)="",1,0)</f>
        <v>0</v>
      </c>
      <c r="U7" s="68" t="n">
        <f aca="false">IF(OR(D7=1,E7=1),0,IF(IFERROR(INDEX(Lists!$F$2:$F$85,MATCH(TRIM(Raw_Data!B7),Lists!$E$2:$E$85,0)),Raw_Data!C7)=Raw_Data!C7,0,1))</f>
        <v>0</v>
      </c>
      <c r="V7" s="68" t="n">
        <f aca="false">IF(SUM(C7:U7)&gt;0,1,0)</f>
        <v>1</v>
      </c>
    </row>
    <row r="8" customFormat="false" ht="15" hidden="false" customHeight="false" outlineLevel="0" collapsed="false">
      <c r="A8" s="66" t="n">
        <f aca="false">ROW()-1</f>
        <v>7</v>
      </c>
      <c r="B8" s="66" t="str">
        <f aca="false">IF(TRIM(Raw_Data!A8)="","(blank)",Raw_Data!A8)</f>
        <v>EMB-007</v>
      </c>
      <c r="C8" s="68" t="n">
        <f aca="false">IF(SUMPRODUCT(--EXACT(Raw_Data!B8,Lists!$E$2:$E$85))=0,1,0)</f>
        <v>0</v>
      </c>
      <c r="D8" s="68" t="n">
        <f aca="false">IF(TRIM(Raw_Data!C8)="",1,0)</f>
        <v>0</v>
      </c>
      <c r="E8" s="68" t="n">
        <f aca="false">IF(AND(TRIM(Raw_Data!C8)&lt;&gt;"",SUMPRODUCT(--EXACT(Raw_Data!C8,Lists!$C$2:$C$7))=0),1,0)</f>
        <v>0</v>
      </c>
      <c r="F8" s="68" t="n">
        <f aca="false">IF(SUMPRODUCT(--EXACT(Raw_Data!H8,Lists!$A$2:$A$8))=0,1,0)</f>
        <v>0</v>
      </c>
      <c r="G8" s="68" t="n">
        <f aca="false">IF(TRIM(Raw_Data!F8)="",1,0)</f>
        <v>0</v>
      </c>
      <c r="H8" s="68" t="n">
        <f aca="false">IF(G8=1,0,IF(IFERROR(FIND(".",Raw_Data!F8,FIND("@",Raw_Data!F8)),0)&gt;0,0,1))</f>
        <v>0</v>
      </c>
      <c r="I8" s="68" t="n">
        <f aca="false">IF(TRIM(Raw_Data!G8)="",1,0)</f>
        <v>0</v>
      </c>
      <c r="J8" s="68" t="n">
        <f aca="false">IF(I8=1,0,IF(OR(AND(LEFT(Raw_Data!G8,4)="+91 ",LEN(Raw_Data!G8)=15),AND(LEFT(Raw_Data!G8,7)="+91 11 ",LEN(Raw_Data!G8)=16)),0,1))</f>
        <v>0</v>
      </c>
      <c r="K8" s="68" t="n">
        <f aca="false">IF(TRIM(Raw_Data!I8)="",1,0)</f>
        <v>0</v>
      </c>
      <c r="L8" s="68" t="n">
        <f aca="false">IF(AND(TRIM(Raw_Data!N8)="",ISERROR(SEARCH("not started",Raw_Data!H8))),1,0)</f>
        <v>0</v>
      </c>
      <c r="M8" s="68" t="n">
        <f aca="false">IF(OR(ISTEXT(Raw_Data!J8),ISTEXT(Raw_Data!K8),ISTEXT(Raw_Data!L8)),1,0)</f>
        <v>0</v>
      </c>
      <c r="N8" s="68" t="n">
        <f aca="false">IF(Raw_Data!M8="",1,0)</f>
        <v>1</v>
      </c>
      <c r="O8" s="68" t="n">
        <f aca="false">IF(AND(ISNUMBER(Raw_Data!M8),Raw_Data!M8&lt;0),1,0)</f>
        <v>0</v>
      </c>
      <c r="P8" s="68" t="n">
        <f aca="false">IF(OR(Raw_Data!B8&lt;&gt;TRIM(Raw_Data!B8),Raw_Data!D8&lt;&gt;TRIM(Raw_Data!D8)),1,0)</f>
        <v>0</v>
      </c>
      <c r="Q8" s="68" t="n">
        <f aca="false">IF(AND(TRIM(Raw_Data!A8)&lt;&gt;"",COUNTIF(Raw_Data!$A$2:$A$92,Raw_Data!A8)&gt;1),1,0)</f>
        <v>0</v>
      </c>
      <c r="R8" s="68" t="n">
        <f aca="false">IF(AND(ISNUMBER(SEARCH("not started",Raw_Data!H8)),OR(N(Raw_Data!M8)&gt;0,Raw_Data!K8&lt;&gt;"")),1,0)</f>
        <v>0</v>
      </c>
      <c r="S8" s="68" t="n">
        <f aca="false">IF(AND(ISERROR(SEARCH("not started",Raw_Data!H8)),Raw_Data!K8=""),1,0)</f>
        <v>0</v>
      </c>
      <c r="T8" s="68" t="n">
        <f aca="false">IF(TRIM(Raw_Data!A8)="",1,0)</f>
        <v>0</v>
      </c>
      <c r="U8" s="68" t="n">
        <f aca="false">IF(OR(D8=1,E8=1),0,IF(IFERROR(INDEX(Lists!$F$2:$F$85,MATCH(TRIM(Raw_Data!B8),Lists!$E$2:$E$85,0)),Raw_Data!C8)=Raw_Data!C8,0,1))</f>
        <v>0</v>
      </c>
      <c r="V8" s="68" t="n">
        <f aca="false">IF(SUM(C8:U8)&gt;0,1,0)</f>
        <v>1</v>
      </c>
    </row>
    <row r="9" customFormat="false" ht="15" hidden="false" customHeight="false" outlineLevel="0" collapsed="false">
      <c r="A9" s="66" t="n">
        <f aca="false">ROW()-1</f>
        <v>8</v>
      </c>
      <c r="B9" s="66" t="str">
        <f aca="false">IF(TRIM(Raw_Data!A9)="","(blank)",Raw_Data!A9)</f>
        <v>EMB-008</v>
      </c>
      <c r="C9" s="68" t="n">
        <f aca="false">IF(SUMPRODUCT(--EXACT(Raw_Data!B9,Lists!$E$2:$E$85))=0,1,0)</f>
        <v>0</v>
      </c>
      <c r="D9" s="68" t="n">
        <f aca="false">IF(TRIM(Raw_Data!C9)="",1,0)</f>
        <v>0</v>
      </c>
      <c r="E9" s="68" t="n">
        <f aca="false">IF(AND(TRIM(Raw_Data!C9)&lt;&gt;"",SUMPRODUCT(--EXACT(Raw_Data!C9,Lists!$C$2:$C$7))=0),1,0)</f>
        <v>0</v>
      </c>
      <c r="F9" s="68" t="n">
        <f aca="false">IF(SUMPRODUCT(--EXACT(Raw_Data!H9,Lists!$A$2:$A$8))=0,1,0)</f>
        <v>0</v>
      </c>
      <c r="G9" s="68" t="n">
        <f aca="false">IF(TRIM(Raw_Data!F9)="",1,0)</f>
        <v>0</v>
      </c>
      <c r="H9" s="68" t="n">
        <f aca="false">IF(G9=1,0,IF(IFERROR(FIND(".",Raw_Data!F9,FIND("@",Raw_Data!F9)),0)&gt;0,0,1))</f>
        <v>0</v>
      </c>
      <c r="I9" s="68" t="n">
        <f aca="false">IF(TRIM(Raw_Data!G9)="",1,0)</f>
        <v>0</v>
      </c>
      <c r="J9" s="68" t="n">
        <f aca="false">IF(I9=1,0,IF(OR(AND(LEFT(Raw_Data!G9,4)="+91 ",LEN(Raw_Data!G9)=15),AND(LEFT(Raw_Data!G9,7)="+91 11 ",LEN(Raw_Data!G9)=16)),0,1))</f>
        <v>0</v>
      </c>
      <c r="K9" s="68" t="n">
        <f aca="false">IF(TRIM(Raw_Data!I9)="",1,0)</f>
        <v>0</v>
      </c>
      <c r="L9" s="68" t="n">
        <f aca="false">IF(AND(TRIM(Raw_Data!N9)="",ISERROR(SEARCH("not started",Raw_Data!H9))),1,0)</f>
        <v>1</v>
      </c>
      <c r="M9" s="68" t="n">
        <f aca="false">IF(OR(ISTEXT(Raw_Data!J9),ISTEXT(Raw_Data!K9),ISTEXT(Raw_Data!L9)),1,0)</f>
        <v>0</v>
      </c>
      <c r="N9" s="68" t="n">
        <f aca="false">IF(Raw_Data!M9="",1,0)</f>
        <v>1</v>
      </c>
      <c r="O9" s="68" t="n">
        <f aca="false">IF(AND(ISNUMBER(Raw_Data!M9),Raw_Data!M9&lt;0),1,0)</f>
        <v>0</v>
      </c>
      <c r="P9" s="68" t="n">
        <f aca="false">IF(OR(Raw_Data!B9&lt;&gt;TRIM(Raw_Data!B9),Raw_Data!D9&lt;&gt;TRIM(Raw_Data!D9)),1,0)</f>
        <v>0</v>
      </c>
      <c r="Q9" s="68" t="n">
        <f aca="false">IF(AND(TRIM(Raw_Data!A9)&lt;&gt;"",COUNTIF(Raw_Data!$A$2:$A$92,Raw_Data!A9)&gt;1),1,0)</f>
        <v>0</v>
      </c>
      <c r="R9" s="68" t="n">
        <f aca="false">IF(AND(ISNUMBER(SEARCH("not started",Raw_Data!H9)),OR(N(Raw_Data!M9)&gt;0,Raw_Data!K9&lt;&gt;"")),1,0)</f>
        <v>0</v>
      </c>
      <c r="S9" s="68" t="n">
        <f aca="false">IF(AND(ISERROR(SEARCH("not started",Raw_Data!H9)),Raw_Data!K9=""),1,0)</f>
        <v>0</v>
      </c>
      <c r="T9" s="68" t="n">
        <f aca="false">IF(TRIM(Raw_Data!A9)="",1,0)</f>
        <v>0</v>
      </c>
      <c r="U9" s="68" t="n">
        <f aca="false">IF(OR(D9=1,E9=1),0,IF(IFERROR(INDEX(Lists!$F$2:$F$85,MATCH(TRIM(Raw_Data!B9),Lists!$E$2:$E$85,0)),Raw_Data!C9)=Raw_Data!C9,0,1))</f>
        <v>0</v>
      </c>
      <c r="V9" s="68" t="n">
        <f aca="false">IF(SUM(C9:U9)&gt;0,1,0)</f>
        <v>1</v>
      </c>
    </row>
    <row r="10" customFormat="false" ht="15" hidden="false" customHeight="false" outlineLevel="0" collapsed="false">
      <c r="A10" s="66" t="n">
        <f aca="false">ROW()-1</f>
        <v>9</v>
      </c>
      <c r="B10" s="66" t="str">
        <f aca="false">IF(TRIM(Raw_Data!A10)="","(blank)",Raw_Data!A10)</f>
        <v>EMB-009</v>
      </c>
      <c r="C10" s="68" t="n">
        <f aca="false">IF(SUMPRODUCT(--EXACT(Raw_Data!B10,Lists!$E$2:$E$85))=0,1,0)</f>
        <v>0</v>
      </c>
      <c r="D10" s="68" t="n">
        <f aca="false">IF(TRIM(Raw_Data!C10)="",1,0)</f>
        <v>0</v>
      </c>
      <c r="E10" s="68" t="n">
        <f aca="false">IF(AND(TRIM(Raw_Data!C10)&lt;&gt;"",SUMPRODUCT(--EXACT(Raw_Data!C10,Lists!$C$2:$C$7))=0),1,0)</f>
        <v>0</v>
      </c>
      <c r="F10" s="68" t="n">
        <f aca="false">IF(SUMPRODUCT(--EXACT(Raw_Data!H10,Lists!$A$2:$A$8))=0,1,0)</f>
        <v>1</v>
      </c>
      <c r="G10" s="68" t="n">
        <f aca="false">IF(TRIM(Raw_Data!F10)="",1,0)</f>
        <v>1</v>
      </c>
      <c r="H10" s="68" t="n">
        <f aca="false">IF(G10=1,0,IF(IFERROR(FIND(".",Raw_Data!F10,FIND("@",Raw_Data!F10)),0)&gt;0,0,1))</f>
        <v>0</v>
      </c>
      <c r="I10" s="68" t="n">
        <f aca="false">IF(TRIM(Raw_Data!G10)="",1,0)</f>
        <v>0</v>
      </c>
      <c r="J10" s="68" t="n">
        <f aca="false">IF(I10=1,0,IF(OR(AND(LEFT(Raw_Data!G10,4)="+91 ",LEN(Raw_Data!G10)=15),AND(LEFT(Raw_Data!G10,7)="+91 11 ",LEN(Raw_Data!G10)=16)),0,1))</f>
        <v>1</v>
      </c>
      <c r="K10" s="68" t="n">
        <f aca="false">IF(TRIM(Raw_Data!I10)="",1,0)</f>
        <v>1</v>
      </c>
      <c r="L10" s="68" t="n">
        <f aca="false">IF(AND(TRIM(Raw_Data!N10)="",ISERROR(SEARCH("not started",Raw_Data!H10))),1,0)</f>
        <v>0</v>
      </c>
      <c r="M10" s="68" t="n">
        <f aca="false">IF(OR(ISTEXT(Raw_Data!J10),ISTEXT(Raw_Data!K10),ISTEXT(Raw_Data!L10)),1,0)</f>
        <v>0</v>
      </c>
      <c r="N10" s="68" t="n">
        <f aca="false">IF(Raw_Data!M10="",1,0)</f>
        <v>0</v>
      </c>
      <c r="O10" s="68" t="n">
        <f aca="false">IF(AND(ISNUMBER(Raw_Data!M10),Raw_Data!M10&lt;0),1,0)</f>
        <v>0</v>
      </c>
      <c r="P10" s="68" t="n">
        <f aca="false">IF(OR(Raw_Data!B10&lt;&gt;TRIM(Raw_Data!B10),Raw_Data!D10&lt;&gt;TRIM(Raw_Data!D10)),1,0)</f>
        <v>0</v>
      </c>
      <c r="Q10" s="68" t="n">
        <f aca="false">IF(AND(TRIM(Raw_Data!A10)&lt;&gt;"",COUNTIF(Raw_Data!$A$2:$A$92,Raw_Data!A10)&gt;1),1,0)</f>
        <v>0</v>
      </c>
      <c r="R10" s="68" t="n">
        <f aca="false">IF(AND(ISNUMBER(SEARCH("not started",Raw_Data!H10)),OR(N(Raw_Data!M10)&gt;0,Raw_Data!K10&lt;&gt;"")),1,0)</f>
        <v>0</v>
      </c>
      <c r="S10" s="68" t="n">
        <f aca="false">IF(AND(ISERROR(SEARCH("not started",Raw_Data!H10)),Raw_Data!K10=""),1,0)</f>
        <v>0</v>
      </c>
      <c r="T10" s="68" t="n">
        <f aca="false">IF(TRIM(Raw_Data!A10)="",1,0)</f>
        <v>0</v>
      </c>
      <c r="U10" s="68" t="n">
        <f aca="false">IF(OR(D10=1,E10=1),0,IF(IFERROR(INDEX(Lists!$F$2:$F$85,MATCH(TRIM(Raw_Data!B10),Lists!$E$2:$E$85,0)),Raw_Data!C10)=Raw_Data!C10,0,1))</f>
        <v>0</v>
      </c>
      <c r="V10" s="68" t="n">
        <f aca="false">IF(SUM(C10:U10)&gt;0,1,0)</f>
        <v>1</v>
      </c>
    </row>
    <row r="11" customFormat="false" ht="15" hidden="false" customHeight="false" outlineLevel="0" collapsed="false">
      <c r="A11" s="66" t="n">
        <f aca="false">ROW()-1</f>
        <v>10</v>
      </c>
      <c r="B11" s="66" t="str">
        <f aca="false">IF(TRIM(Raw_Data!A11)="","(blank)",Raw_Data!A11)</f>
        <v>EMB-010</v>
      </c>
      <c r="C11" s="68" t="n">
        <f aca="false">IF(SUMPRODUCT(--EXACT(Raw_Data!B11,Lists!$E$2:$E$85))=0,1,0)</f>
        <v>0</v>
      </c>
      <c r="D11" s="68" t="n">
        <f aca="false">IF(TRIM(Raw_Data!C11)="",1,0)</f>
        <v>0</v>
      </c>
      <c r="E11" s="68" t="n">
        <f aca="false">IF(AND(TRIM(Raw_Data!C11)&lt;&gt;"",SUMPRODUCT(--EXACT(Raw_Data!C11,Lists!$C$2:$C$7))=0),1,0)</f>
        <v>0</v>
      </c>
      <c r="F11" s="68" t="n">
        <f aca="false">IF(SUMPRODUCT(--EXACT(Raw_Data!H11,Lists!$A$2:$A$8))=0,1,0)</f>
        <v>1</v>
      </c>
      <c r="G11" s="68" t="n">
        <f aca="false">IF(TRIM(Raw_Data!F11)="",1,0)</f>
        <v>0</v>
      </c>
      <c r="H11" s="68" t="n">
        <f aca="false">IF(G11=1,0,IF(IFERROR(FIND(".",Raw_Data!F11,FIND("@",Raw_Data!F11)),0)&gt;0,0,1))</f>
        <v>0</v>
      </c>
      <c r="I11" s="68" t="n">
        <f aca="false">IF(TRIM(Raw_Data!G11)="",1,0)</f>
        <v>0</v>
      </c>
      <c r="J11" s="68" t="n">
        <f aca="false">IF(I11=1,0,IF(OR(AND(LEFT(Raw_Data!G11,4)="+91 ",LEN(Raw_Data!G11)=15),AND(LEFT(Raw_Data!G11,7)="+91 11 ",LEN(Raw_Data!G11)=16)),0,1))</f>
        <v>0</v>
      </c>
      <c r="K11" s="68" t="n">
        <f aca="false">IF(TRIM(Raw_Data!I11)="",1,0)</f>
        <v>0</v>
      </c>
      <c r="L11" s="68" t="n">
        <f aca="false">IF(AND(TRIM(Raw_Data!N11)="",ISERROR(SEARCH("not started",Raw_Data!H11))),1,0)</f>
        <v>0</v>
      </c>
      <c r="M11" s="68" t="n">
        <f aca="false">IF(OR(ISTEXT(Raw_Data!J11),ISTEXT(Raw_Data!K11),ISTEXT(Raw_Data!L11)),1,0)</f>
        <v>0</v>
      </c>
      <c r="N11" s="68" t="n">
        <f aca="false">IF(Raw_Data!M11="",1,0)</f>
        <v>0</v>
      </c>
      <c r="O11" s="68" t="n">
        <f aca="false">IF(AND(ISNUMBER(Raw_Data!M11),Raw_Data!M11&lt;0),1,0)</f>
        <v>0</v>
      </c>
      <c r="P11" s="68" t="n">
        <f aca="false">IF(OR(Raw_Data!B11&lt;&gt;TRIM(Raw_Data!B11),Raw_Data!D11&lt;&gt;TRIM(Raw_Data!D11)),1,0)</f>
        <v>0</v>
      </c>
      <c r="Q11" s="68" t="n">
        <f aca="false">IF(AND(TRIM(Raw_Data!A11)&lt;&gt;"",COUNTIF(Raw_Data!$A$2:$A$92,Raw_Data!A11)&gt;1),1,0)</f>
        <v>1</v>
      </c>
      <c r="R11" s="68" t="n">
        <f aca="false">IF(AND(ISNUMBER(SEARCH("not started",Raw_Data!H11)),OR(N(Raw_Data!M11)&gt;0,Raw_Data!K11&lt;&gt;"")),1,0)</f>
        <v>0</v>
      </c>
      <c r="S11" s="68" t="n">
        <f aca="false">IF(AND(ISERROR(SEARCH("not started",Raw_Data!H11)),Raw_Data!K11=""),1,0)</f>
        <v>1</v>
      </c>
      <c r="T11" s="68" t="n">
        <f aca="false">IF(TRIM(Raw_Data!A11)="",1,0)</f>
        <v>0</v>
      </c>
      <c r="U11" s="68" t="n">
        <f aca="false">IF(OR(D11=1,E11=1),0,IF(IFERROR(INDEX(Lists!$F$2:$F$85,MATCH(TRIM(Raw_Data!B11),Lists!$E$2:$E$85,0)),Raw_Data!C11)=Raw_Data!C11,0,1))</f>
        <v>0</v>
      </c>
      <c r="V11" s="68" t="n">
        <f aca="false">IF(SUM(C11:U11)&gt;0,1,0)</f>
        <v>1</v>
      </c>
    </row>
    <row r="12" customFormat="false" ht="15" hidden="false" customHeight="false" outlineLevel="0" collapsed="false">
      <c r="A12" s="66" t="n">
        <f aca="false">ROW()-1</f>
        <v>11</v>
      </c>
      <c r="B12" s="66" t="str">
        <f aca="false">IF(TRIM(Raw_Data!A12)="","(blank)",Raw_Data!A12)</f>
        <v>EMB-011</v>
      </c>
      <c r="C12" s="68" t="n">
        <f aca="false">IF(SUMPRODUCT(--EXACT(Raw_Data!B12,Lists!$E$2:$E$85))=0,1,0)</f>
        <v>0</v>
      </c>
      <c r="D12" s="68" t="n">
        <f aca="false">IF(TRIM(Raw_Data!C12)="",1,0)</f>
        <v>0</v>
      </c>
      <c r="E12" s="68" t="n">
        <f aca="false">IF(AND(TRIM(Raw_Data!C12)&lt;&gt;"",SUMPRODUCT(--EXACT(Raw_Data!C12,Lists!$C$2:$C$7))=0),1,0)</f>
        <v>0</v>
      </c>
      <c r="F12" s="68" t="n">
        <f aca="false">IF(SUMPRODUCT(--EXACT(Raw_Data!H12,Lists!$A$2:$A$8))=0,1,0)</f>
        <v>0</v>
      </c>
      <c r="G12" s="68" t="n">
        <f aca="false">IF(TRIM(Raw_Data!F12)="",1,0)</f>
        <v>0</v>
      </c>
      <c r="H12" s="68" t="n">
        <f aca="false">IF(G12=1,0,IF(IFERROR(FIND(".",Raw_Data!F12,FIND("@",Raw_Data!F12)),0)&gt;0,0,1))</f>
        <v>0</v>
      </c>
      <c r="I12" s="68" t="n">
        <f aca="false">IF(TRIM(Raw_Data!G12)="",1,0)</f>
        <v>0</v>
      </c>
      <c r="J12" s="68" t="n">
        <f aca="false">IF(I12=1,0,IF(OR(AND(LEFT(Raw_Data!G12,4)="+91 ",LEN(Raw_Data!G12)=15),AND(LEFT(Raw_Data!G12,7)="+91 11 ",LEN(Raw_Data!G12)=16)),0,1))</f>
        <v>0</v>
      </c>
      <c r="K12" s="68" t="n">
        <f aca="false">IF(TRIM(Raw_Data!I12)="",1,0)</f>
        <v>0</v>
      </c>
      <c r="L12" s="68" t="n">
        <f aca="false">IF(AND(TRIM(Raw_Data!N12)="",ISERROR(SEARCH("not started",Raw_Data!H12))),1,0)</f>
        <v>0</v>
      </c>
      <c r="M12" s="68" t="n">
        <f aca="false">IF(OR(ISTEXT(Raw_Data!J12),ISTEXT(Raw_Data!K12),ISTEXT(Raw_Data!L12)),1,0)</f>
        <v>1</v>
      </c>
      <c r="N12" s="68" t="n">
        <f aca="false">IF(Raw_Data!M12="",1,0)</f>
        <v>0</v>
      </c>
      <c r="O12" s="68" t="n">
        <f aca="false">IF(AND(ISNUMBER(Raw_Data!M12),Raw_Data!M12&lt;0),1,0)</f>
        <v>0</v>
      </c>
      <c r="P12" s="68" t="n">
        <f aca="false">IF(OR(Raw_Data!B12&lt;&gt;TRIM(Raw_Data!B12),Raw_Data!D12&lt;&gt;TRIM(Raw_Data!D12)),1,0)</f>
        <v>0</v>
      </c>
      <c r="Q12" s="68" t="n">
        <f aca="false">IF(AND(TRIM(Raw_Data!A12)&lt;&gt;"",COUNTIF(Raw_Data!$A$2:$A$92,Raw_Data!A12)&gt;1),1,0)</f>
        <v>0</v>
      </c>
      <c r="R12" s="68" t="n">
        <f aca="false">IF(AND(ISNUMBER(SEARCH("not started",Raw_Data!H12)),OR(N(Raw_Data!M12)&gt;0,Raw_Data!K12&lt;&gt;"")),1,0)</f>
        <v>0</v>
      </c>
      <c r="S12" s="68" t="n">
        <f aca="false">IF(AND(ISERROR(SEARCH("not started",Raw_Data!H12)),Raw_Data!K12=""),1,0)</f>
        <v>0</v>
      </c>
      <c r="T12" s="68" t="n">
        <f aca="false">IF(TRIM(Raw_Data!A12)="",1,0)</f>
        <v>0</v>
      </c>
      <c r="U12" s="68" t="n">
        <f aca="false">IF(OR(D12=1,E12=1),0,IF(IFERROR(INDEX(Lists!$F$2:$F$85,MATCH(TRIM(Raw_Data!B12),Lists!$E$2:$E$85,0)),Raw_Data!C12)=Raw_Data!C12,0,1))</f>
        <v>0</v>
      </c>
      <c r="V12" s="68" t="n">
        <f aca="false">IF(SUM(C12:U12)&gt;0,1,0)</f>
        <v>1</v>
      </c>
    </row>
    <row r="13" customFormat="false" ht="15" hidden="false" customHeight="false" outlineLevel="0" collapsed="false">
      <c r="A13" s="66" t="n">
        <f aca="false">ROW()-1</f>
        <v>12</v>
      </c>
      <c r="B13" s="66" t="str">
        <f aca="false">IF(TRIM(Raw_Data!A13)="","(blank)",Raw_Data!A13)</f>
        <v>EMB-012</v>
      </c>
      <c r="C13" s="68" t="n">
        <f aca="false">IF(SUMPRODUCT(--EXACT(Raw_Data!B13,Lists!$E$2:$E$85))=0,1,0)</f>
        <v>0</v>
      </c>
      <c r="D13" s="68" t="n">
        <f aca="false">IF(TRIM(Raw_Data!C13)="",1,0)</f>
        <v>0</v>
      </c>
      <c r="E13" s="68" t="n">
        <f aca="false">IF(AND(TRIM(Raw_Data!C13)&lt;&gt;"",SUMPRODUCT(--EXACT(Raw_Data!C13,Lists!$C$2:$C$7))=0),1,0)</f>
        <v>0</v>
      </c>
      <c r="F13" s="68" t="n">
        <f aca="false">IF(SUMPRODUCT(--EXACT(Raw_Data!H13,Lists!$A$2:$A$8))=0,1,0)</f>
        <v>0</v>
      </c>
      <c r="G13" s="68" t="n">
        <f aca="false">IF(TRIM(Raw_Data!F13)="",1,0)</f>
        <v>0</v>
      </c>
      <c r="H13" s="68" t="n">
        <f aca="false">IF(G13=1,0,IF(IFERROR(FIND(".",Raw_Data!F13,FIND("@",Raw_Data!F13)),0)&gt;0,0,1))</f>
        <v>0</v>
      </c>
      <c r="I13" s="68" t="n">
        <f aca="false">IF(TRIM(Raw_Data!G13)="",1,0)</f>
        <v>0</v>
      </c>
      <c r="J13" s="68" t="n">
        <f aca="false">IF(I13=1,0,IF(OR(AND(LEFT(Raw_Data!G13,4)="+91 ",LEN(Raw_Data!G13)=15),AND(LEFT(Raw_Data!G13,7)="+91 11 ",LEN(Raw_Data!G13)=16)),0,1))</f>
        <v>0</v>
      </c>
      <c r="K13" s="68" t="n">
        <f aca="false">IF(TRIM(Raw_Data!I13)="",1,0)</f>
        <v>0</v>
      </c>
      <c r="L13" s="68" t="n">
        <f aca="false">IF(AND(TRIM(Raw_Data!N13)="",ISERROR(SEARCH("not started",Raw_Data!H13))),1,0)</f>
        <v>0</v>
      </c>
      <c r="M13" s="68" t="n">
        <f aca="false">IF(OR(ISTEXT(Raw_Data!J13),ISTEXT(Raw_Data!K13),ISTEXT(Raw_Data!L13)),1,0)</f>
        <v>0</v>
      </c>
      <c r="N13" s="68" t="n">
        <f aca="false">IF(Raw_Data!M13="",1,0)</f>
        <v>0</v>
      </c>
      <c r="O13" s="68" t="n">
        <f aca="false">IF(AND(ISNUMBER(Raw_Data!M13),Raw_Data!M13&lt;0),1,0)</f>
        <v>0</v>
      </c>
      <c r="P13" s="68" t="n">
        <f aca="false">IF(OR(Raw_Data!B13&lt;&gt;TRIM(Raw_Data!B13),Raw_Data!D13&lt;&gt;TRIM(Raw_Data!D13)),1,0)</f>
        <v>0</v>
      </c>
      <c r="Q13" s="68" t="n">
        <f aca="false">IF(AND(TRIM(Raw_Data!A13)&lt;&gt;"",COUNTIF(Raw_Data!$A$2:$A$92,Raw_Data!A13)&gt;1),1,0)</f>
        <v>0</v>
      </c>
      <c r="R13" s="68" t="n">
        <f aca="false">IF(AND(ISNUMBER(SEARCH("not started",Raw_Data!H13)),OR(N(Raw_Data!M13)&gt;0,Raw_Data!K13&lt;&gt;"")),1,0)</f>
        <v>0</v>
      </c>
      <c r="S13" s="68" t="n">
        <f aca="false">IF(AND(ISERROR(SEARCH("not started",Raw_Data!H13)),Raw_Data!K13=""),1,0)</f>
        <v>0</v>
      </c>
      <c r="T13" s="68" t="n">
        <f aca="false">IF(TRIM(Raw_Data!A13)="",1,0)</f>
        <v>0</v>
      </c>
      <c r="U13" s="68" t="n">
        <f aca="false">IF(OR(D13=1,E13=1),0,IF(IFERROR(INDEX(Lists!$F$2:$F$85,MATCH(TRIM(Raw_Data!B13),Lists!$E$2:$E$85,0)),Raw_Data!C13)=Raw_Data!C13,0,1))</f>
        <v>0</v>
      </c>
      <c r="V13" s="68" t="n">
        <f aca="false">IF(SUM(C13:U13)&gt;0,1,0)</f>
        <v>0</v>
      </c>
    </row>
    <row r="14" customFormat="false" ht="15" hidden="false" customHeight="false" outlineLevel="0" collapsed="false">
      <c r="A14" s="66" t="n">
        <f aca="false">ROW()-1</f>
        <v>13</v>
      </c>
      <c r="B14" s="66" t="str">
        <f aca="false">IF(TRIM(Raw_Data!A14)="","(blank)",Raw_Data!A14)</f>
        <v>EMB-013</v>
      </c>
      <c r="C14" s="68" t="n">
        <f aca="false">IF(SUMPRODUCT(--EXACT(Raw_Data!B14,Lists!$E$2:$E$85))=0,1,0)</f>
        <v>0</v>
      </c>
      <c r="D14" s="68" t="n">
        <f aca="false">IF(TRIM(Raw_Data!C14)="",1,0)</f>
        <v>0</v>
      </c>
      <c r="E14" s="68" t="n">
        <f aca="false">IF(AND(TRIM(Raw_Data!C14)&lt;&gt;"",SUMPRODUCT(--EXACT(Raw_Data!C14,Lists!$C$2:$C$7))=0),1,0)</f>
        <v>0</v>
      </c>
      <c r="F14" s="68" t="n">
        <f aca="false">IF(SUMPRODUCT(--EXACT(Raw_Data!H14,Lists!$A$2:$A$8))=0,1,0)</f>
        <v>0</v>
      </c>
      <c r="G14" s="68" t="n">
        <f aca="false">IF(TRIM(Raw_Data!F14)="",1,0)</f>
        <v>0</v>
      </c>
      <c r="H14" s="68" t="n">
        <f aca="false">IF(G14=1,0,IF(IFERROR(FIND(".",Raw_Data!F14,FIND("@",Raw_Data!F14)),0)&gt;0,0,1))</f>
        <v>0</v>
      </c>
      <c r="I14" s="68" t="n">
        <f aca="false">IF(TRIM(Raw_Data!G14)="",1,0)</f>
        <v>0</v>
      </c>
      <c r="J14" s="68" t="n">
        <f aca="false">IF(I14=1,0,IF(OR(AND(LEFT(Raw_Data!G14,4)="+91 ",LEN(Raw_Data!G14)=15),AND(LEFT(Raw_Data!G14,7)="+91 11 ",LEN(Raw_Data!G14)=16)),0,1))</f>
        <v>0</v>
      </c>
      <c r="K14" s="68" t="n">
        <f aca="false">IF(TRIM(Raw_Data!I14)="",1,0)</f>
        <v>0</v>
      </c>
      <c r="L14" s="68" t="n">
        <f aca="false">IF(AND(TRIM(Raw_Data!N14)="",ISERROR(SEARCH("not started",Raw_Data!H14))),1,0)</f>
        <v>0</v>
      </c>
      <c r="M14" s="68" t="n">
        <f aca="false">IF(OR(ISTEXT(Raw_Data!J14),ISTEXT(Raw_Data!K14),ISTEXT(Raw_Data!L14)),1,0)</f>
        <v>0</v>
      </c>
      <c r="N14" s="68" t="n">
        <f aca="false">IF(Raw_Data!M14="",1,0)</f>
        <v>0</v>
      </c>
      <c r="O14" s="68" t="n">
        <f aca="false">IF(AND(ISNUMBER(Raw_Data!M14),Raw_Data!M14&lt;0),1,0)</f>
        <v>0</v>
      </c>
      <c r="P14" s="68" t="n">
        <f aca="false">IF(OR(Raw_Data!B14&lt;&gt;TRIM(Raw_Data!B14),Raw_Data!D14&lt;&gt;TRIM(Raw_Data!D14)),1,0)</f>
        <v>0</v>
      </c>
      <c r="Q14" s="68" t="n">
        <f aca="false">IF(AND(TRIM(Raw_Data!A14)&lt;&gt;"",COUNTIF(Raw_Data!$A$2:$A$92,Raw_Data!A14)&gt;1),1,0)</f>
        <v>0</v>
      </c>
      <c r="R14" s="68" t="n">
        <f aca="false">IF(AND(ISNUMBER(SEARCH("not started",Raw_Data!H14)),OR(N(Raw_Data!M14)&gt;0,Raw_Data!K14&lt;&gt;"")),1,0)</f>
        <v>0</v>
      </c>
      <c r="S14" s="68" t="n">
        <f aca="false">IF(AND(ISERROR(SEARCH("not started",Raw_Data!H14)),Raw_Data!K14=""),1,0)</f>
        <v>0</v>
      </c>
      <c r="T14" s="68" t="n">
        <f aca="false">IF(TRIM(Raw_Data!A14)="",1,0)</f>
        <v>0</v>
      </c>
      <c r="U14" s="68" t="n">
        <f aca="false">IF(OR(D14=1,E14=1),0,IF(IFERROR(INDEX(Lists!$F$2:$F$85,MATCH(TRIM(Raw_Data!B14),Lists!$E$2:$E$85,0)),Raw_Data!C14)=Raw_Data!C14,0,1))</f>
        <v>0</v>
      </c>
      <c r="V14" s="68" t="n">
        <f aca="false">IF(SUM(C14:U14)&gt;0,1,0)</f>
        <v>0</v>
      </c>
    </row>
    <row r="15" customFormat="false" ht="15" hidden="false" customHeight="false" outlineLevel="0" collapsed="false">
      <c r="A15" s="66" t="n">
        <f aca="false">ROW()-1</f>
        <v>14</v>
      </c>
      <c r="B15" s="66" t="str">
        <f aca="false">IF(TRIM(Raw_Data!A15)="","(blank)",Raw_Data!A15)</f>
        <v>EMB-014</v>
      </c>
      <c r="C15" s="68" t="n">
        <f aca="false">IF(SUMPRODUCT(--EXACT(Raw_Data!B15,Lists!$E$2:$E$85))=0,1,0)</f>
        <v>0</v>
      </c>
      <c r="D15" s="68" t="n">
        <f aca="false">IF(TRIM(Raw_Data!C15)="",1,0)</f>
        <v>0</v>
      </c>
      <c r="E15" s="68" t="n">
        <f aca="false">IF(AND(TRIM(Raw_Data!C15)&lt;&gt;"",SUMPRODUCT(--EXACT(Raw_Data!C15,Lists!$C$2:$C$7))=0),1,0)</f>
        <v>0</v>
      </c>
      <c r="F15" s="68" t="n">
        <f aca="false">IF(SUMPRODUCT(--EXACT(Raw_Data!H15,Lists!$A$2:$A$8))=0,1,0)</f>
        <v>0</v>
      </c>
      <c r="G15" s="68" t="n">
        <f aca="false">IF(TRIM(Raw_Data!F15)="",1,0)</f>
        <v>0</v>
      </c>
      <c r="H15" s="68" t="n">
        <f aca="false">IF(G15=1,0,IF(IFERROR(FIND(".",Raw_Data!F15,FIND("@",Raw_Data!F15)),0)&gt;0,0,1))</f>
        <v>0</v>
      </c>
      <c r="I15" s="68" t="n">
        <f aca="false">IF(TRIM(Raw_Data!G15)="",1,0)</f>
        <v>0</v>
      </c>
      <c r="J15" s="68" t="n">
        <f aca="false">IF(I15=1,0,IF(OR(AND(LEFT(Raw_Data!G15,4)="+91 ",LEN(Raw_Data!G15)=15),AND(LEFT(Raw_Data!G15,7)="+91 11 ",LEN(Raw_Data!G15)=16)),0,1))</f>
        <v>0</v>
      </c>
      <c r="K15" s="68" t="n">
        <f aca="false">IF(TRIM(Raw_Data!I15)="",1,0)</f>
        <v>0</v>
      </c>
      <c r="L15" s="68" t="n">
        <f aca="false">IF(AND(TRIM(Raw_Data!N15)="",ISERROR(SEARCH("not started",Raw_Data!H15))),1,0)</f>
        <v>0</v>
      </c>
      <c r="M15" s="68" t="n">
        <f aca="false">IF(OR(ISTEXT(Raw_Data!J15),ISTEXT(Raw_Data!K15),ISTEXT(Raw_Data!L15)),1,0)</f>
        <v>0</v>
      </c>
      <c r="N15" s="68" t="n">
        <f aca="false">IF(Raw_Data!M15="",1,0)</f>
        <v>0</v>
      </c>
      <c r="O15" s="68" t="n">
        <f aca="false">IF(AND(ISNUMBER(Raw_Data!M15),Raw_Data!M15&lt;0),1,0)</f>
        <v>0</v>
      </c>
      <c r="P15" s="68" t="n">
        <f aca="false">IF(OR(Raw_Data!B15&lt;&gt;TRIM(Raw_Data!B15),Raw_Data!D15&lt;&gt;TRIM(Raw_Data!D15)),1,0)</f>
        <v>0</v>
      </c>
      <c r="Q15" s="68" t="n">
        <f aca="false">IF(AND(TRIM(Raw_Data!A15)&lt;&gt;"",COUNTIF(Raw_Data!$A$2:$A$92,Raw_Data!A15)&gt;1),1,0)</f>
        <v>0</v>
      </c>
      <c r="R15" s="68" t="n">
        <f aca="false">IF(AND(ISNUMBER(SEARCH("not started",Raw_Data!H15)),OR(N(Raw_Data!M15)&gt;0,Raw_Data!K15&lt;&gt;"")),1,0)</f>
        <v>0</v>
      </c>
      <c r="S15" s="68" t="n">
        <f aca="false">IF(AND(ISERROR(SEARCH("not started",Raw_Data!H15)),Raw_Data!K15=""),1,0)</f>
        <v>0</v>
      </c>
      <c r="T15" s="68" t="n">
        <f aca="false">IF(TRIM(Raw_Data!A15)="",1,0)</f>
        <v>0</v>
      </c>
      <c r="U15" s="68" t="n">
        <f aca="false">IF(OR(D15=1,E15=1),0,IF(IFERROR(INDEX(Lists!$F$2:$F$85,MATCH(TRIM(Raw_Data!B15),Lists!$E$2:$E$85,0)),Raw_Data!C15)=Raw_Data!C15,0,1))</f>
        <v>0</v>
      </c>
      <c r="V15" s="68" t="n">
        <f aca="false">IF(SUM(C15:U15)&gt;0,1,0)</f>
        <v>0</v>
      </c>
    </row>
    <row r="16" customFormat="false" ht="15" hidden="false" customHeight="false" outlineLevel="0" collapsed="false">
      <c r="A16" s="66" t="n">
        <f aca="false">ROW()-1</f>
        <v>15</v>
      </c>
      <c r="B16" s="66" t="str">
        <f aca="false">IF(TRIM(Raw_Data!A16)="","(blank)",Raw_Data!A16)</f>
        <v>EMB-015</v>
      </c>
      <c r="C16" s="68" t="n">
        <f aca="false">IF(SUMPRODUCT(--EXACT(Raw_Data!B16,Lists!$E$2:$E$85))=0,1,0)</f>
        <v>1</v>
      </c>
      <c r="D16" s="68" t="n">
        <f aca="false">IF(TRIM(Raw_Data!C16)="",1,0)</f>
        <v>0</v>
      </c>
      <c r="E16" s="68" t="n">
        <f aca="false">IF(AND(TRIM(Raw_Data!C16)&lt;&gt;"",SUMPRODUCT(--EXACT(Raw_Data!C16,Lists!$C$2:$C$7))=0),1,0)</f>
        <v>1</v>
      </c>
      <c r="F16" s="68" t="n">
        <f aca="false">IF(SUMPRODUCT(--EXACT(Raw_Data!H16,Lists!$A$2:$A$8))=0,1,0)</f>
        <v>0</v>
      </c>
      <c r="G16" s="68" t="n">
        <f aca="false">IF(TRIM(Raw_Data!F16)="",1,0)</f>
        <v>0</v>
      </c>
      <c r="H16" s="68" t="n">
        <f aca="false">IF(G16=1,0,IF(IFERROR(FIND(".",Raw_Data!F16,FIND("@",Raw_Data!F16)),0)&gt;0,0,1))</f>
        <v>0</v>
      </c>
      <c r="I16" s="68" t="n">
        <f aca="false">IF(TRIM(Raw_Data!G16)="",1,0)</f>
        <v>0</v>
      </c>
      <c r="J16" s="68" t="n">
        <f aca="false">IF(I16=1,0,IF(OR(AND(LEFT(Raw_Data!G16,4)="+91 ",LEN(Raw_Data!G16)=15),AND(LEFT(Raw_Data!G16,7)="+91 11 ",LEN(Raw_Data!G16)=16)),0,1))</f>
        <v>0</v>
      </c>
      <c r="K16" s="68" t="n">
        <f aca="false">IF(TRIM(Raw_Data!I16)="",1,0)</f>
        <v>0</v>
      </c>
      <c r="L16" s="68" t="n">
        <f aca="false">IF(AND(TRIM(Raw_Data!N16)="",ISERROR(SEARCH("not started",Raw_Data!H16))),1,0)</f>
        <v>0</v>
      </c>
      <c r="M16" s="68" t="n">
        <f aca="false">IF(OR(ISTEXT(Raw_Data!J16),ISTEXT(Raw_Data!K16),ISTEXT(Raw_Data!L16)),1,0)</f>
        <v>0</v>
      </c>
      <c r="N16" s="68" t="n">
        <f aca="false">IF(Raw_Data!M16="",1,0)</f>
        <v>0</v>
      </c>
      <c r="O16" s="68" t="n">
        <f aca="false">IF(AND(ISNUMBER(Raw_Data!M16),Raw_Data!M16&lt;0),1,0)</f>
        <v>0</v>
      </c>
      <c r="P16" s="68" t="n">
        <f aca="false">IF(OR(Raw_Data!B16&lt;&gt;TRIM(Raw_Data!B16),Raw_Data!D16&lt;&gt;TRIM(Raw_Data!D16)),1,0)</f>
        <v>0</v>
      </c>
      <c r="Q16" s="68" t="n">
        <f aca="false">IF(AND(TRIM(Raw_Data!A16)&lt;&gt;"",COUNTIF(Raw_Data!$A$2:$A$92,Raw_Data!A16)&gt;1),1,0)</f>
        <v>0</v>
      </c>
      <c r="R16" s="68" t="n">
        <f aca="false">IF(AND(ISNUMBER(SEARCH("not started",Raw_Data!H16)),OR(N(Raw_Data!M16)&gt;0,Raw_Data!K16&lt;&gt;"")),1,0)</f>
        <v>0</v>
      </c>
      <c r="S16" s="68" t="n">
        <f aca="false">IF(AND(ISERROR(SEARCH("not started",Raw_Data!H16)),Raw_Data!K16=""),1,0)</f>
        <v>0</v>
      </c>
      <c r="T16" s="68" t="n">
        <f aca="false">IF(TRIM(Raw_Data!A16)="",1,0)</f>
        <v>0</v>
      </c>
      <c r="U16" s="68" t="n">
        <f aca="false">IF(OR(D16=1,E16=1),0,IF(IFERROR(INDEX(Lists!$F$2:$F$85,MATCH(TRIM(Raw_Data!B16),Lists!$E$2:$E$85,0)),Raw_Data!C16)=Raw_Data!C16,0,1))</f>
        <v>0</v>
      </c>
      <c r="V16" s="68" t="n">
        <f aca="false">IF(SUM(C16:U16)&gt;0,1,0)</f>
        <v>1</v>
      </c>
    </row>
    <row r="17" customFormat="false" ht="15" hidden="false" customHeight="false" outlineLevel="0" collapsed="false">
      <c r="A17" s="66" t="n">
        <f aca="false">ROW()-1</f>
        <v>16</v>
      </c>
      <c r="B17" s="66" t="str">
        <f aca="false">IF(TRIM(Raw_Data!A17)="","(blank)",Raw_Data!A17)</f>
        <v>EMB-016</v>
      </c>
      <c r="C17" s="68" t="n">
        <f aca="false">IF(SUMPRODUCT(--EXACT(Raw_Data!B17,Lists!$E$2:$E$85))=0,1,0)</f>
        <v>0</v>
      </c>
      <c r="D17" s="68" t="n">
        <f aca="false">IF(TRIM(Raw_Data!C17)="",1,0)</f>
        <v>0</v>
      </c>
      <c r="E17" s="68" t="n">
        <f aca="false">IF(AND(TRIM(Raw_Data!C17)&lt;&gt;"",SUMPRODUCT(--EXACT(Raw_Data!C17,Lists!$C$2:$C$7))=0),1,0)</f>
        <v>0</v>
      </c>
      <c r="F17" s="68" t="n">
        <f aca="false">IF(SUMPRODUCT(--EXACT(Raw_Data!H17,Lists!$A$2:$A$8))=0,1,0)</f>
        <v>0</v>
      </c>
      <c r="G17" s="68" t="n">
        <f aca="false">IF(TRIM(Raw_Data!F17)="",1,0)</f>
        <v>0</v>
      </c>
      <c r="H17" s="68" t="n">
        <f aca="false">IF(G17=1,0,IF(IFERROR(FIND(".",Raw_Data!F17,FIND("@",Raw_Data!F17)),0)&gt;0,0,1))</f>
        <v>0</v>
      </c>
      <c r="I17" s="68" t="n">
        <f aca="false">IF(TRIM(Raw_Data!G17)="",1,0)</f>
        <v>1</v>
      </c>
      <c r="J17" s="68" t="n">
        <f aca="false">IF(I17=1,0,IF(OR(AND(LEFT(Raw_Data!G17,4)="+91 ",LEN(Raw_Data!G17)=15),AND(LEFT(Raw_Data!G17,7)="+91 11 ",LEN(Raw_Data!G17)=16)),0,1))</f>
        <v>0</v>
      </c>
      <c r="K17" s="68" t="n">
        <f aca="false">IF(TRIM(Raw_Data!I17)="",1,0)</f>
        <v>0</v>
      </c>
      <c r="L17" s="68" t="n">
        <f aca="false">IF(AND(TRIM(Raw_Data!N17)="",ISERROR(SEARCH("not started",Raw_Data!H17))),1,0)</f>
        <v>0</v>
      </c>
      <c r="M17" s="68" t="n">
        <f aca="false">IF(OR(ISTEXT(Raw_Data!J17),ISTEXT(Raw_Data!K17),ISTEXT(Raw_Data!L17)),1,0)</f>
        <v>0</v>
      </c>
      <c r="N17" s="68" t="n">
        <f aca="false">IF(Raw_Data!M17="",1,0)</f>
        <v>0</v>
      </c>
      <c r="O17" s="68" t="n">
        <f aca="false">IF(AND(ISNUMBER(Raw_Data!M17),Raw_Data!M17&lt;0),1,0)</f>
        <v>0</v>
      </c>
      <c r="P17" s="68" t="n">
        <f aca="false">IF(OR(Raw_Data!B17&lt;&gt;TRIM(Raw_Data!B17),Raw_Data!D17&lt;&gt;TRIM(Raw_Data!D17)),1,0)</f>
        <v>0</v>
      </c>
      <c r="Q17" s="68" t="n">
        <f aca="false">IF(AND(TRIM(Raw_Data!A17)&lt;&gt;"",COUNTIF(Raw_Data!$A$2:$A$92,Raw_Data!A17)&gt;1),1,0)</f>
        <v>0</v>
      </c>
      <c r="R17" s="68" t="n">
        <f aca="false">IF(AND(ISNUMBER(SEARCH("not started",Raw_Data!H17)),OR(N(Raw_Data!M17)&gt;0,Raw_Data!K17&lt;&gt;"")),1,0)</f>
        <v>0</v>
      </c>
      <c r="S17" s="68" t="n">
        <f aca="false">IF(AND(ISERROR(SEARCH("not started",Raw_Data!H17)),Raw_Data!K17=""),1,0)</f>
        <v>0</v>
      </c>
      <c r="T17" s="68" t="n">
        <f aca="false">IF(TRIM(Raw_Data!A17)="",1,0)</f>
        <v>0</v>
      </c>
      <c r="U17" s="68" t="n">
        <f aca="false">IF(OR(D17=1,E17=1),0,IF(IFERROR(INDEX(Lists!$F$2:$F$85,MATCH(TRIM(Raw_Data!B17),Lists!$E$2:$E$85,0)),Raw_Data!C17)=Raw_Data!C17,0,1))</f>
        <v>0</v>
      </c>
      <c r="V17" s="68" t="n">
        <f aca="false">IF(SUM(C17:U17)&gt;0,1,0)</f>
        <v>1</v>
      </c>
    </row>
    <row r="18" customFormat="false" ht="15" hidden="false" customHeight="false" outlineLevel="0" collapsed="false">
      <c r="A18" s="66" t="n">
        <f aca="false">ROW()-1</f>
        <v>17</v>
      </c>
      <c r="B18" s="66" t="str">
        <f aca="false">IF(TRIM(Raw_Data!A18)="","(blank)",Raw_Data!A18)</f>
        <v>EMB-017</v>
      </c>
      <c r="C18" s="68" t="n">
        <f aca="false">IF(SUMPRODUCT(--EXACT(Raw_Data!B18,Lists!$E$2:$E$85))=0,1,0)</f>
        <v>0</v>
      </c>
      <c r="D18" s="68" t="n">
        <f aca="false">IF(TRIM(Raw_Data!C18)="",1,0)</f>
        <v>1</v>
      </c>
      <c r="E18" s="68" t="n">
        <f aca="false">IF(AND(TRIM(Raw_Data!C18)&lt;&gt;"",SUMPRODUCT(--EXACT(Raw_Data!C18,Lists!$C$2:$C$7))=0),1,0)</f>
        <v>0</v>
      </c>
      <c r="F18" s="68" t="n">
        <f aca="false">IF(SUMPRODUCT(--EXACT(Raw_Data!H18,Lists!$A$2:$A$8))=0,1,0)</f>
        <v>0</v>
      </c>
      <c r="G18" s="68" t="n">
        <f aca="false">IF(TRIM(Raw_Data!F18)="",1,0)</f>
        <v>0</v>
      </c>
      <c r="H18" s="68" t="n">
        <f aca="false">IF(G18=1,0,IF(IFERROR(FIND(".",Raw_Data!F18,FIND("@",Raw_Data!F18)),0)&gt;0,0,1))</f>
        <v>0</v>
      </c>
      <c r="I18" s="68" t="n">
        <f aca="false">IF(TRIM(Raw_Data!G18)="",1,0)</f>
        <v>0</v>
      </c>
      <c r="J18" s="68" t="n">
        <f aca="false">IF(I18=1,0,IF(OR(AND(LEFT(Raw_Data!G18,4)="+91 ",LEN(Raw_Data!G18)=15),AND(LEFT(Raw_Data!G18,7)="+91 11 ",LEN(Raw_Data!G18)=16)),0,1))</f>
        <v>0</v>
      </c>
      <c r="K18" s="68" t="n">
        <f aca="false">IF(TRIM(Raw_Data!I18)="",1,0)</f>
        <v>0</v>
      </c>
      <c r="L18" s="68" t="n">
        <f aca="false">IF(AND(TRIM(Raw_Data!N18)="",ISERROR(SEARCH("not started",Raw_Data!H18))),1,0)</f>
        <v>0</v>
      </c>
      <c r="M18" s="68" t="n">
        <f aca="false">IF(OR(ISTEXT(Raw_Data!J18),ISTEXT(Raw_Data!K18),ISTEXT(Raw_Data!L18)),1,0)</f>
        <v>0</v>
      </c>
      <c r="N18" s="68" t="n">
        <f aca="false">IF(Raw_Data!M18="",1,0)</f>
        <v>0</v>
      </c>
      <c r="O18" s="68" t="n">
        <f aca="false">IF(AND(ISNUMBER(Raw_Data!M18),Raw_Data!M18&lt;0),1,0)</f>
        <v>0</v>
      </c>
      <c r="P18" s="68" t="n">
        <f aca="false">IF(OR(Raw_Data!B18&lt;&gt;TRIM(Raw_Data!B18),Raw_Data!D18&lt;&gt;TRIM(Raw_Data!D18)),1,0)</f>
        <v>0</v>
      </c>
      <c r="Q18" s="68" t="n">
        <f aca="false">IF(AND(TRIM(Raw_Data!A18)&lt;&gt;"",COUNTIF(Raw_Data!$A$2:$A$92,Raw_Data!A18)&gt;1),1,0)</f>
        <v>0</v>
      </c>
      <c r="R18" s="68" t="n">
        <f aca="false">IF(AND(ISNUMBER(SEARCH("not started",Raw_Data!H18)),OR(N(Raw_Data!M18)&gt;0,Raw_Data!K18&lt;&gt;"")),1,0)</f>
        <v>0</v>
      </c>
      <c r="S18" s="68" t="n">
        <f aca="false">IF(AND(ISERROR(SEARCH("not started",Raw_Data!H18)),Raw_Data!K18=""),1,0)</f>
        <v>0</v>
      </c>
      <c r="T18" s="68" t="n">
        <f aca="false">IF(TRIM(Raw_Data!A18)="",1,0)</f>
        <v>0</v>
      </c>
      <c r="U18" s="68" t="n">
        <f aca="false">IF(OR(D18=1,E18=1),0,IF(IFERROR(INDEX(Lists!$F$2:$F$85,MATCH(TRIM(Raw_Data!B18),Lists!$E$2:$E$85,0)),Raw_Data!C18)=Raw_Data!C18,0,1))</f>
        <v>0</v>
      </c>
      <c r="V18" s="68" t="n">
        <f aca="false">IF(SUM(C18:U18)&gt;0,1,0)</f>
        <v>1</v>
      </c>
    </row>
    <row r="19" customFormat="false" ht="15" hidden="false" customHeight="false" outlineLevel="0" collapsed="false">
      <c r="A19" s="66" t="n">
        <f aca="false">ROW()-1</f>
        <v>18</v>
      </c>
      <c r="B19" s="66" t="str">
        <f aca="false">IF(TRIM(Raw_Data!A19)="","(blank)",Raw_Data!A19)</f>
        <v>EMB-018</v>
      </c>
      <c r="C19" s="68" t="n">
        <f aca="false">IF(SUMPRODUCT(--EXACT(Raw_Data!B19,Lists!$E$2:$E$85))=0,1,0)</f>
        <v>0</v>
      </c>
      <c r="D19" s="68" t="n">
        <f aca="false">IF(TRIM(Raw_Data!C19)="",1,0)</f>
        <v>0</v>
      </c>
      <c r="E19" s="68" t="n">
        <f aca="false">IF(AND(TRIM(Raw_Data!C19)&lt;&gt;"",SUMPRODUCT(--EXACT(Raw_Data!C19,Lists!$C$2:$C$7))=0),1,0)</f>
        <v>0</v>
      </c>
      <c r="F19" s="68" t="n">
        <f aca="false">IF(SUMPRODUCT(--EXACT(Raw_Data!H19,Lists!$A$2:$A$8))=0,1,0)</f>
        <v>0</v>
      </c>
      <c r="G19" s="68" t="n">
        <f aca="false">IF(TRIM(Raw_Data!F19)="",1,0)</f>
        <v>0</v>
      </c>
      <c r="H19" s="68" t="n">
        <f aca="false">IF(G19=1,0,IF(IFERROR(FIND(".",Raw_Data!F19,FIND("@",Raw_Data!F19)),0)&gt;0,0,1))</f>
        <v>0</v>
      </c>
      <c r="I19" s="68" t="n">
        <f aca="false">IF(TRIM(Raw_Data!G19)="",1,0)</f>
        <v>0</v>
      </c>
      <c r="J19" s="68" t="n">
        <f aca="false">IF(I19=1,0,IF(OR(AND(LEFT(Raw_Data!G19,4)="+91 ",LEN(Raw_Data!G19)=15),AND(LEFT(Raw_Data!G19,7)="+91 11 ",LEN(Raw_Data!G19)=16)),0,1))</f>
        <v>0</v>
      </c>
      <c r="K19" s="68" t="n">
        <f aca="false">IF(TRIM(Raw_Data!I19)="",1,0)</f>
        <v>0</v>
      </c>
      <c r="L19" s="68" t="n">
        <f aca="false">IF(AND(TRIM(Raw_Data!N19)="",ISERROR(SEARCH("not started",Raw_Data!H19))),1,0)</f>
        <v>0</v>
      </c>
      <c r="M19" s="68" t="n">
        <f aca="false">IF(OR(ISTEXT(Raw_Data!J19),ISTEXT(Raw_Data!K19),ISTEXT(Raw_Data!L19)),1,0)</f>
        <v>0</v>
      </c>
      <c r="N19" s="68" t="n">
        <f aca="false">IF(Raw_Data!M19="",1,0)</f>
        <v>0</v>
      </c>
      <c r="O19" s="68" t="n">
        <f aca="false">IF(AND(ISNUMBER(Raw_Data!M19),Raw_Data!M19&lt;0),1,0)</f>
        <v>0</v>
      </c>
      <c r="P19" s="68" t="n">
        <f aca="false">IF(OR(Raw_Data!B19&lt;&gt;TRIM(Raw_Data!B19),Raw_Data!D19&lt;&gt;TRIM(Raw_Data!D19)),1,0)</f>
        <v>0</v>
      </c>
      <c r="Q19" s="68" t="n">
        <f aca="false">IF(AND(TRIM(Raw_Data!A19)&lt;&gt;"",COUNTIF(Raw_Data!$A$2:$A$92,Raw_Data!A19)&gt;1),1,0)</f>
        <v>0</v>
      </c>
      <c r="R19" s="68" t="n">
        <f aca="false">IF(AND(ISNUMBER(SEARCH("not started",Raw_Data!H19)),OR(N(Raw_Data!M19)&gt;0,Raw_Data!K19&lt;&gt;"")),1,0)</f>
        <v>0</v>
      </c>
      <c r="S19" s="68" t="n">
        <f aca="false">IF(AND(ISERROR(SEARCH("not started",Raw_Data!H19)),Raw_Data!K19=""),1,0)</f>
        <v>0</v>
      </c>
      <c r="T19" s="68" t="n">
        <f aca="false">IF(TRIM(Raw_Data!A19)="",1,0)</f>
        <v>0</v>
      </c>
      <c r="U19" s="68" t="n">
        <f aca="false">IF(OR(D19=1,E19=1),0,IF(IFERROR(INDEX(Lists!$F$2:$F$85,MATCH(TRIM(Raw_Data!B19),Lists!$E$2:$E$85,0)),Raw_Data!C19)=Raw_Data!C19,0,1))</f>
        <v>0</v>
      </c>
      <c r="V19" s="68" t="n">
        <f aca="false">IF(SUM(C19:U19)&gt;0,1,0)</f>
        <v>0</v>
      </c>
    </row>
    <row r="20" customFormat="false" ht="15" hidden="false" customHeight="false" outlineLevel="0" collapsed="false">
      <c r="A20" s="66" t="n">
        <f aca="false">ROW()-1</f>
        <v>19</v>
      </c>
      <c r="B20" s="66" t="str">
        <f aca="false">IF(TRIM(Raw_Data!A20)="","(blank)",Raw_Data!A20)</f>
        <v>EMB-019</v>
      </c>
      <c r="C20" s="68" t="n">
        <f aca="false">IF(SUMPRODUCT(--EXACT(Raw_Data!B20,Lists!$E$2:$E$85))=0,1,0)</f>
        <v>1</v>
      </c>
      <c r="D20" s="68" t="n">
        <f aca="false">IF(TRIM(Raw_Data!C20)="",1,0)</f>
        <v>0</v>
      </c>
      <c r="E20" s="68" t="n">
        <f aca="false">IF(AND(TRIM(Raw_Data!C20)&lt;&gt;"",SUMPRODUCT(--EXACT(Raw_Data!C20,Lists!$C$2:$C$7))=0),1,0)</f>
        <v>1</v>
      </c>
      <c r="F20" s="68" t="n">
        <f aca="false">IF(SUMPRODUCT(--EXACT(Raw_Data!H20,Lists!$A$2:$A$8))=0,1,0)</f>
        <v>0</v>
      </c>
      <c r="G20" s="68" t="n">
        <f aca="false">IF(TRIM(Raw_Data!F20)="",1,0)</f>
        <v>0</v>
      </c>
      <c r="H20" s="68" t="n">
        <f aca="false">IF(G20=1,0,IF(IFERROR(FIND(".",Raw_Data!F20,FIND("@",Raw_Data!F20)),0)&gt;0,0,1))</f>
        <v>0</v>
      </c>
      <c r="I20" s="68" t="n">
        <f aca="false">IF(TRIM(Raw_Data!G20)="",1,0)</f>
        <v>0</v>
      </c>
      <c r="J20" s="68" t="n">
        <f aca="false">IF(I20=1,0,IF(OR(AND(LEFT(Raw_Data!G20,4)="+91 ",LEN(Raw_Data!G20)=15),AND(LEFT(Raw_Data!G20,7)="+91 11 ",LEN(Raw_Data!G20)=16)),0,1))</f>
        <v>0</v>
      </c>
      <c r="K20" s="68" t="n">
        <f aca="false">IF(TRIM(Raw_Data!I20)="",1,0)</f>
        <v>0</v>
      </c>
      <c r="L20" s="68" t="n">
        <f aca="false">IF(AND(TRIM(Raw_Data!N20)="",ISERROR(SEARCH("not started",Raw_Data!H20))),1,0)</f>
        <v>0</v>
      </c>
      <c r="M20" s="68" t="n">
        <f aca="false">IF(OR(ISTEXT(Raw_Data!J20),ISTEXT(Raw_Data!K20),ISTEXT(Raw_Data!L20)),1,0)</f>
        <v>0</v>
      </c>
      <c r="N20" s="68" t="n">
        <f aca="false">IF(Raw_Data!M20="",1,0)</f>
        <v>0</v>
      </c>
      <c r="O20" s="68" t="n">
        <f aca="false">IF(AND(ISNUMBER(Raw_Data!M20),Raw_Data!M20&lt;0),1,0)</f>
        <v>0</v>
      </c>
      <c r="P20" s="68" t="n">
        <f aca="false">IF(OR(Raw_Data!B20&lt;&gt;TRIM(Raw_Data!B20),Raw_Data!D20&lt;&gt;TRIM(Raw_Data!D20)),1,0)</f>
        <v>0</v>
      </c>
      <c r="Q20" s="68" t="n">
        <f aca="false">IF(AND(TRIM(Raw_Data!A20)&lt;&gt;"",COUNTIF(Raw_Data!$A$2:$A$92,Raw_Data!A20)&gt;1),1,0)</f>
        <v>0</v>
      </c>
      <c r="R20" s="68" t="n">
        <f aca="false">IF(AND(ISNUMBER(SEARCH("not started",Raw_Data!H20)),OR(N(Raw_Data!M20)&gt;0,Raw_Data!K20&lt;&gt;"")),1,0)</f>
        <v>0</v>
      </c>
      <c r="S20" s="68" t="n">
        <f aca="false">IF(AND(ISERROR(SEARCH("not started",Raw_Data!H20)),Raw_Data!K20=""),1,0)</f>
        <v>0</v>
      </c>
      <c r="T20" s="68" t="n">
        <f aca="false">IF(TRIM(Raw_Data!A20)="",1,0)</f>
        <v>0</v>
      </c>
      <c r="U20" s="68" t="n">
        <f aca="false">IF(OR(D20=1,E20=1),0,IF(IFERROR(INDEX(Lists!$F$2:$F$85,MATCH(TRIM(Raw_Data!B20),Lists!$E$2:$E$85,0)),Raw_Data!C20)=Raw_Data!C20,0,1))</f>
        <v>0</v>
      </c>
      <c r="V20" s="68" t="n">
        <f aca="false">IF(SUM(C20:U20)&gt;0,1,0)</f>
        <v>1</v>
      </c>
    </row>
    <row r="21" customFormat="false" ht="15" hidden="false" customHeight="false" outlineLevel="0" collapsed="false">
      <c r="A21" s="66" t="n">
        <f aca="false">ROW()-1</f>
        <v>20</v>
      </c>
      <c r="B21" s="66" t="str">
        <f aca="false">IF(TRIM(Raw_Data!A21)="","(blank)",Raw_Data!A21)</f>
        <v>EMB-020</v>
      </c>
      <c r="C21" s="68" t="n">
        <f aca="false">IF(SUMPRODUCT(--EXACT(Raw_Data!B21,Lists!$E$2:$E$85))=0,1,0)</f>
        <v>1</v>
      </c>
      <c r="D21" s="68" t="n">
        <f aca="false">IF(TRIM(Raw_Data!C21)="",1,0)</f>
        <v>0</v>
      </c>
      <c r="E21" s="68" t="n">
        <f aca="false">IF(AND(TRIM(Raw_Data!C21)&lt;&gt;"",SUMPRODUCT(--EXACT(Raw_Data!C21,Lists!$C$2:$C$7))=0),1,0)</f>
        <v>0</v>
      </c>
      <c r="F21" s="68" t="n">
        <f aca="false">IF(SUMPRODUCT(--EXACT(Raw_Data!H21,Lists!$A$2:$A$8))=0,1,0)</f>
        <v>0</v>
      </c>
      <c r="G21" s="68" t="n">
        <f aca="false">IF(TRIM(Raw_Data!F21)="",1,0)</f>
        <v>0</v>
      </c>
      <c r="H21" s="68" t="n">
        <f aca="false">IF(G21=1,0,IF(IFERROR(FIND(".",Raw_Data!F21,FIND("@",Raw_Data!F21)),0)&gt;0,0,1))</f>
        <v>0</v>
      </c>
      <c r="I21" s="68" t="n">
        <f aca="false">IF(TRIM(Raw_Data!G21)="",1,0)</f>
        <v>0</v>
      </c>
      <c r="J21" s="68" t="n">
        <f aca="false">IF(I21=1,0,IF(OR(AND(LEFT(Raw_Data!G21,4)="+91 ",LEN(Raw_Data!G21)=15),AND(LEFT(Raw_Data!G21,7)="+91 11 ",LEN(Raw_Data!G21)=16)),0,1))</f>
        <v>0</v>
      </c>
      <c r="K21" s="68" t="n">
        <f aca="false">IF(TRIM(Raw_Data!I21)="",1,0)</f>
        <v>0</v>
      </c>
      <c r="L21" s="68" t="n">
        <f aca="false">IF(AND(TRIM(Raw_Data!N21)="",ISERROR(SEARCH("not started",Raw_Data!H21))),1,0)</f>
        <v>0</v>
      </c>
      <c r="M21" s="68" t="n">
        <f aca="false">IF(OR(ISTEXT(Raw_Data!J21),ISTEXT(Raw_Data!K21),ISTEXT(Raw_Data!L21)),1,0)</f>
        <v>0</v>
      </c>
      <c r="N21" s="68" t="n">
        <f aca="false">IF(Raw_Data!M21="",1,0)</f>
        <v>0</v>
      </c>
      <c r="O21" s="68" t="n">
        <f aca="false">IF(AND(ISNUMBER(Raw_Data!M21),Raw_Data!M21&lt;0),1,0)</f>
        <v>0</v>
      </c>
      <c r="P21" s="68" t="n">
        <f aca="false">IF(OR(Raw_Data!B21&lt;&gt;TRIM(Raw_Data!B21),Raw_Data!D21&lt;&gt;TRIM(Raw_Data!D21)),1,0)</f>
        <v>0</v>
      </c>
      <c r="Q21" s="68" t="n">
        <f aca="false">IF(AND(TRIM(Raw_Data!A21)&lt;&gt;"",COUNTIF(Raw_Data!$A$2:$A$92,Raw_Data!A21)&gt;1),1,0)</f>
        <v>0</v>
      </c>
      <c r="R21" s="68" t="n">
        <f aca="false">IF(AND(ISNUMBER(SEARCH("not started",Raw_Data!H21)),OR(N(Raw_Data!M21)&gt;0,Raw_Data!K21&lt;&gt;"")),1,0)</f>
        <v>0</v>
      </c>
      <c r="S21" s="68" t="n">
        <f aca="false">IF(AND(ISERROR(SEARCH("not started",Raw_Data!H21)),Raw_Data!K21=""),1,0)</f>
        <v>0</v>
      </c>
      <c r="T21" s="68" t="n">
        <f aca="false">IF(TRIM(Raw_Data!A21)="",1,0)</f>
        <v>0</v>
      </c>
      <c r="U21" s="68" t="n">
        <f aca="false">IF(OR(D21=1,E21=1),0,IF(IFERROR(INDEX(Lists!$F$2:$F$85,MATCH(TRIM(Raw_Data!B21),Lists!$E$2:$E$85,0)),Raw_Data!C21)=Raw_Data!C21,0,1))</f>
        <v>0</v>
      </c>
      <c r="V21" s="68" t="n">
        <f aca="false">IF(SUM(C21:U21)&gt;0,1,0)</f>
        <v>1</v>
      </c>
    </row>
    <row r="22" customFormat="false" ht="15" hidden="false" customHeight="false" outlineLevel="0" collapsed="false">
      <c r="A22" s="66" t="n">
        <f aca="false">ROW()-1</f>
        <v>21</v>
      </c>
      <c r="B22" s="66" t="str">
        <f aca="false">IF(TRIM(Raw_Data!A22)="","(blank)",Raw_Data!A22)</f>
        <v>EMB-021</v>
      </c>
      <c r="C22" s="68" t="n">
        <f aca="false">IF(SUMPRODUCT(--EXACT(Raw_Data!B22,Lists!$E$2:$E$85))=0,1,0)</f>
        <v>1</v>
      </c>
      <c r="D22" s="68" t="n">
        <f aca="false">IF(TRIM(Raw_Data!C22)="",1,0)</f>
        <v>1</v>
      </c>
      <c r="E22" s="68" t="n">
        <f aca="false">IF(AND(TRIM(Raw_Data!C22)&lt;&gt;"",SUMPRODUCT(--EXACT(Raw_Data!C22,Lists!$C$2:$C$7))=0),1,0)</f>
        <v>0</v>
      </c>
      <c r="F22" s="68" t="n">
        <f aca="false">IF(SUMPRODUCT(--EXACT(Raw_Data!H22,Lists!$A$2:$A$8))=0,1,0)</f>
        <v>0</v>
      </c>
      <c r="G22" s="68" t="n">
        <f aca="false">IF(TRIM(Raw_Data!F22)="",1,0)</f>
        <v>0</v>
      </c>
      <c r="H22" s="68" t="n">
        <f aca="false">IF(G22=1,0,IF(IFERROR(FIND(".",Raw_Data!F22,FIND("@",Raw_Data!F22)),0)&gt;0,0,1))</f>
        <v>0</v>
      </c>
      <c r="I22" s="68" t="n">
        <f aca="false">IF(TRIM(Raw_Data!G22)="",1,0)</f>
        <v>0</v>
      </c>
      <c r="J22" s="68" t="n">
        <f aca="false">IF(I22=1,0,IF(OR(AND(LEFT(Raw_Data!G22,4)="+91 ",LEN(Raw_Data!G22)=15),AND(LEFT(Raw_Data!G22,7)="+91 11 ",LEN(Raw_Data!G22)=16)),0,1))</f>
        <v>0</v>
      </c>
      <c r="K22" s="68" t="n">
        <f aca="false">IF(TRIM(Raw_Data!I22)="",1,0)</f>
        <v>0</v>
      </c>
      <c r="L22" s="68" t="n">
        <f aca="false">IF(AND(TRIM(Raw_Data!N22)="",ISERROR(SEARCH("not started",Raw_Data!H22))),1,0)</f>
        <v>0</v>
      </c>
      <c r="M22" s="68" t="n">
        <f aca="false">IF(OR(ISTEXT(Raw_Data!J22),ISTEXT(Raw_Data!K22),ISTEXT(Raw_Data!L22)),1,0)</f>
        <v>0</v>
      </c>
      <c r="N22" s="68" t="n">
        <f aca="false">IF(Raw_Data!M22="",1,0)</f>
        <v>0</v>
      </c>
      <c r="O22" s="68" t="n">
        <f aca="false">IF(AND(ISNUMBER(Raw_Data!M22),Raw_Data!M22&lt;0),1,0)</f>
        <v>0</v>
      </c>
      <c r="P22" s="68" t="n">
        <f aca="false">IF(OR(Raw_Data!B22&lt;&gt;TRIM(Raw_Data!B22),Raw_Data!D22&lt;&gt;TRIM(Raw_Data!D22)),1,0)</f>
        <v>1</v>
      </c>
      <c r="Q22" s="68" t="n">
        <f aca="false">IF(AND(TRIM(Raw_Data!A22)&lt;&gt;"",COUNTIF(Raw_Data!$A$2:$A$92,Raw_Data!A22)&gt;1),1,0)</f>
        <v>0</v>
      </c>
      <c r="R22" s="68" t="n">
        <f aca="false">IF(AND(ISNUMBER(SEARCH("not started",Raw_Data!H22)),OR(N(Raw_Data!M22)&gt;0,Raw_Data!K22&lt;&gt;"")),1,0)</f>
        <v>0</v>
      </c>
      <c r="S22" s="68" t="n">
        <f aca="false">IF(AND(ISERROR(SEARCH("not started",Raw_Data!H22)),Raw_Data!K22=""),1,0)</f>
        <v>0</v>
      </c>
      <c r="T22" s="68" t="n">
        <f aca="false">IF(TRIM(Raw_Data!A22)="",1,0)</f>
        <v>0</v>
      </c>
      <c r="U22" s="68" t="n">
        <f aca="false">IF(OR(D22=1,E22=1),0,IF(IFERROR(INDEX(Lists!$F$2:$F$85,MATCH(TRIM(Raw_Data!B22),Lists!$E$2:$E$85,0)),Raw_Data!C22)=Raw_Data!C22,0,1))</f>
        <v>0</v>
      </c>
      <c r="V22" s="68" t="n">
        <f aca="false">IF(SUM(C22:U22)&gt;0,1,0)</f>
        <v>1</v>
      </c>
    </row>
    <row r="23" customFormat="false" ht="15" hidden="false" customHeight="false" outlineLevel="0" collapsed="false">
      <c r="A23" s="66" t="n">
        <f aca="false">ROW()-1</f>
        <v>22</v>
      </c>
      <c r="B23" s="66" t="str">
        <f aca="false">IF(TRIM(Raw_Data!A23)="","(blank)",Raw_Data!A23)</f>
        <v>EMB-022</v>
      </c>
      <c r="C23" s="68" t="n">
        <f aca="false">IF(SUMPRODUCT(--EXACT(Raw_Data!B23,Lists!$E$2:$E$85))=0,1,0)</f>
        <v>1</v>
      </c>
      <c r="D23" s="68" t="n">
        <f aca="false">IF(TRIM(Raw_Data!C23)="",1,0)</f>
        <v>0</v>
      </c>
      <c r="E23" s="68" t="n">
        <f aca="false">IF(AND(TRIM(Raw_Data!C23)&lt;&gt;"",SUMPRODUCT(--EXACT(Raw_Data!C23,Lists!$C$2:$C$7))=0),1,0)</f>
        <v>0</v>
      </c>
      <c r="F23" s="68" t="n">
        <f aca="false">IF(SUMPRODUCT(--EXACT(Raw_Data!H23,Lists!$A$2:$A$8))=0,1,0)</f>
        <v>0</v>
      </c>
      <c r="G23" s="68" t="n">
        <f aca="false">IF(TRIM(Raw_Data!F23)="",1,0)</f>
        <v>0</v>
      </c>
      <c r="H23" s="68" t="n">
        <f aca="false">IF(G23=1,0,IF(IFERROR(FIND(".",Raw_Data!F23,FIND("@",Raw_Data!F23)),0)&gt;0,0,1))</f>
        <v>0</v>
      </c>
      <c r="I23" s="68" t="n">
        <f aca="false">IF(TRIM(Raw_Data!G23)="",1,0)</f>
        <v>0</v>
      </c>
      <c r="J23" s="68" t="n">
        <f aca="false">IF(I23=1,0,IF(OR(AND(LEFT(Raw_Data!G23,4)="+91 ",LEN(Raw_Data!G23)=15),AND(LEFT(Raw_Data!G23,7)="+91 11 ",LEN(Raw_Data!G23)=16)),0,1))</f>
        <v>0</v>
      </c>
      <c r="K23" s="68" t="n">
        <f aca="false">IF(TRIM(Raw_Data!I23)="",1,0)</f>
        <v>0</v>
      </c>
      <c r="L23" s="68" t="n">
        <f aca="false">IF(AND(TRIM(Raw_Data!N23)="",ISERROR(SEARCH("not started",Raw_Data!H23))),1,0)</f>
        <v>1</v>
      </c>
      <c r="M23" s="68" t="n">
        <f aca="false">IF(OR(ISTEXT(Raw_Data!J23),ISTEXT(Raw_Data!K23),ISTEXT(Raw_Data!L23)),1,0)</f>
        <v>0</v>
      </c>
      <c r="N23" s="68" t="n">
        <f aca="false">IF(Raw_Data!M23="",1,0)</f>
        <v>0</v>
      </c>
      <c r="O23" s="68" t="n">
        <f aca="false">IF(AND(ISNUMBER(Raw_Data!M23),Raw_Data!M23&lt;0),1,0)</f>
        <v>0</v>
      </c>
      <c r="P23" s="68" t="n">
        <f aca="false">IF(OR(Raw_Data!B23&lt;&gt;TRIM(Raw_Data!B23),Raw_Data!D23&lt;&gt;TRIM(Raw_Data!D23)),1,0)</f>
        <v>0</v>
      </c>
      <c r="Q23" s="68" t="n">
        <f aca="false">IF(AND(TRIM(Raw_Data!A23)&lt;&gt;"",COUNTIF(Raw_Data!$A$2:$A$92,Raw_Data!A23)&gt;1),1,0)</f>
        <v>0</v>
      </c>
      <c r="R23" s="68" t="n">
        <f aca="false">IF(AND(ISNUMBER(SEARCH("not started",Raw_Data!H23)),OR(N(Raw_Data!M23)&gt;0,Raw_Data!K23&lt;&gt;"")),1,0)</f>
        <v>0</v>
      </c>
      <c r="S23" s="68" t="n">
        <f aca="false">IF(AND(ISERROR(SEARCH("not started",Raw_Data!H23)),Raw_Data!K23=""),1,0)</f>
        <v>0</v>
      </c>
      <c r="T23" s="68" t="n">
        <f aca="false">IF(TRIM(Raw_Data!A23)="",1,0)</f>
        <v>0</v>
      </c>
      <c r="U23" s="68" t="n">
        <f aca="false">IF(OR(D23=1,E23=1),0,IF(IFERROR(INDEX(Lists!$F$2:$F$85,MATCH(TRIM(Raw_Data!B23),Lists!$E$2:$E$85,0)),Raw_Data!C23)=Raw_Data!C23,0,1))</f>
        <v>0</v>
      </c>
      <c r="V23" s="68" t="n">
        <f aca="false">IF(SUM(C23:U23)&gt;0,1,0)</f>
        <v>1</v>
      </c>
    </row>
    <row r="24" customFormat="false" ht="15" hidden="false" customHeight="false" outlineLevel="0" collapsed="false">
      <c r="A24" s="66" t="n">
        <f aca="false">ROW()-1</f>
        <v>23</v>
      </c>
      <c r="B24" s="66" t="str">
        <f aca="false">IF(TRIM(Raw_Data!A24)="","(blank)",Raw_Data!A24)</f>
        <v>EMB-023</v>
      </c>
      <c r="C24" s="68" t="n">
        <f aca="false">IF(SUMPRODUCT(--EXACT(Raw_Data!B24,Lists!$E$2:$E$85))=0,1,0)</f>
        <v>0</v>
      </c>
      <c r="D24" s="68" t="n">
        <f aca="false">IF(TRIM(Raw_Data!C24)="",1,0)</f>
        <v>0</v>
      </c>
      <c r="E24" s="68" t="n">
        <f aca="false">IF(AND(TRIM(Raw_Data!C24)&lt;&gt;"",SUMPRODUCT(--EXACT(Raw_Data!C24,Lists!$C$2:$C$7))=0),1,0)</f>
        <v>0</v>
      </c>
      <c r="F24" s="68" t="n">
        <f aca="false">IF(SUMPRODUCT(--EXACT(Raw_Data!H24,Lists!$A$2:$A$8))=0,1,0)</f>
        <v>0</v>
      </c>
      <c r="G24" s="68" t="n">
        <f aca="false">IF(TRIM(Raw_Data!F24)="",1,0)</f>
        <v>0</v>
      </c>
      <c r="H24" s="68" t="n">
        <f aca="false">IF(G24=1,0,IF(IFERROR(FIND(".",Raw_Data!F24,FIND("@",Raw_Data!F24)),0)&gt;0,0,1))</f>
        <v>0</v>
      </c>
      <c r="I24" s="68" t="n">
        <f aca="false">IF(TRIM(Raw_Data!G24)="",1,0)</f>
        <v>0</v>
      </c>
      <c r="J24" s="68" t="n">
        <f aca="false">IF(I24=1,0,IF(OR(AND(LEFT(Raw_Data!G24,4)="+91 ",LEN(Raw_Data!G24)=15),AND(LEFT(Raw_Data!G24,7)="+91 11 ",LEN(Raw_Data!G24)=16)),0,1))</f>
        <v>0</v>
      </c>
      <c r="K24" s="68" t="n">
        <f aca="false">IF(TRIM(Raw_Data!I24)="",1,0)</f>
        <v>0</v>
      </c>
      <c r="L24" s="68" t="n">
        <f aca="false">IF(AND(TRIM(Raw_Data!N24)="",ISERROR(SEARCH("not started",Raw_Data!H24))),1,0)</f>
        <v>0</v>
      </c>
      <c r="M24" s="68" t="n">
        <f aca="false">IF(OR(ISTEXT(Raw_Data!J24),ISTEXT(Raw_Data!K24),ISTEXT(Raw_Data!L24)),1,0)</f>
        <v>0</v>
      </c>
      <c r="N24" s="68" t="n">
        <f aca="false">IF(Raw_Data!M24="",1,0)</f>
        <v>0</v>
      </c>
      <c r="O24" s="68" t="n">
        <f aca="false">IF(AND(ISNUMBER(Raw_Data!M24),Raw_Data!M24&lt;0),1,0)</f>
        <v>0</v>
      </c>
      <c r="P24" s="68" t="n">
        <f aca="false">IF(OR(Raw_Data!B24&lt;&gt;TRIM(Raw_Data!B24),Raw_Data!D24&lt;&gt;TRIM(Raw_Data!D24)),1,0)</f>
        <v>0</v>
      </c>
      <c r="Q24" s="68" t="n">
        <f aca="false">IF(AND(TRIM(Raw_Data!A24)&lt;&gt;"",COUNTIF(Raw_Data!$A$2:$A$92,Raw_Data!A24)&gt;1),1,0)</f>
        <v>0</v>
      </c>
      <c r="R24" s="68" t="n">
        <f aca="false">IF(AND(ISNUMBER(SEARCH("not started",Raw_Data!H24)),OR(N(Raw_Data!M24)&gt;0,Raw_Data!K24&lt;&gt;"")),1,0)</f>
        <v>0</v>
      </c>
      <c r="S24" s="68" t="n">
        <f aca="false">IF(AND(ISERROR(SEARCH("not started",Raw_Data!H24)),Raw_Data!K24=""),1,0)</f>
        <v>0</v>
      </c>
      <c r="T24" s="68" t="n">
        <f aca="false">IF(TRIM(Raw_Data!A24)="",1,0)</f>
        <v>0</v>
      </c>
      <c r="U24" s="68" t="n">
        <f aca="false">IF(OR(D24=1,E24=1),0,IF(IFERROR(INDEX(Lists!$F$2:$F$85,MATCH(TRIM(Raw_Data!B24),Lists!$E$2:$E$85,0)),Raw_Data!C24)=Raw_Data!C24,0,1))</f>
        <v>0</v>
      </c>
      <c r="V24" s="68" t="n">
        <f aca="false">IF(SUM(C24:U24)&gt;0,1,0)</f>
        <v>0</v>
      </c>
    </row>
    <row r="25" customFormat="false" ht="15" hidden="false" customHeight="false" outlineLevel="0" collapsed="false">
      <c r="A25" s="66" t="n">
        <f aca="false">ROW()-1</f>
        <v>24</v>
      </c>
      <c r="B25" s="66" t="str">
        <f aca="false">IF(TRIM(Raw_Data!A25)="","(blank)",Raw_Data!A25)</f>
        <v>EMB-024</v>
      </c>
      <c r="C25" s="68" t="n">
        <f aca="false">IF(SUMPRODUCT(--EXACT(Raw_Data!B25,Lists!$E$2:$E$85))=0,1,0)</f>
        <v>0</v>
      </c>
      <c r="D25" s="68" t="n">
        <f aca="false">IF(TRIM(Raw_Data!C25)="",1,0)</f>
        <v>0</v>
      </c>
      <c r="E25" s="68" t="n">
        <f aca="false">IF(AND(TRIM(Raw_Data!C25)&lt;&gt;"",SUMPRODUCT(--EXACT(Raw_Data!C25,Lists!$C$2:$C$7))=0),1,0)</f>
        <v>0</v>
      </c>
      <c r="F25" s="68" t="n">
        <f aca="false">IF(SUMPRODUCT(--EXACT(Raw_Data!H25,Lists!$A$2:$A$8))=0,1,0)</f>
        <v>0</v>
      </c>
      <c r="G25" s="68" t="n">
        <f aca="false">IF(TRIM(Raw_Data!F25)="",1,0)</f>
        <v>0</v>
      </c>
      <c r="H25" s="68" t="n">
        <f aca="false">IF(G25=1,0,IF(IFERROR(FIND(".",Raw_Data!F25,FIND("@",Raw_Data!F25)),0)&gt;0,0,1))</f>
        <v>0</v>
      </c>
      <c r="I25" s="68" t="n">
        <f aca="false">IF(TRIM(Raw_Data!G25)="",1,0)</f>
        <v>0</v>
      </c>
      <c r="J25" s="68" t="n">
        <f aca="false">IF(I25=1,0,IF(OR(AND(LEFT(Raw_Data!G25,4)="+91 ",LEN(Raw_Data!G25)=15),AND(LEFT(Raw_Data!G25,7)="+91 11 ",LEN(Raw_Data!G25)=16)),0,1))</f>
        <v>0</v>
      </c>
      <c r="K25" s="68" t="n">
        <f aca="false">IF(TRIM(Raw_Data!I25)="",1,0)</f>
        <v>1</v>
      </c>
      <c r="L25" s="68" t="n">
        <f aca="false">IF(AND(TRIM(Raw_Data!N25)="",ISERROR(SEARCH("not started",Raw_Data!H25))),1,0)</f>
        <v>0</v>
      </c>
      <c r="M25" s="68" t="n">
        <f aca="false">IF(OR(ISTEXT(Raw_Data!J25),ISTEXT(Raw_Data!K25),ISTEXT(Raw_Data!L25)),1,0)</f>
        <v>0</v>
      </c>
      <c r="N25" s="68" t="n">
        <f aca="false">IF(Raw_Data!M25="",1,0)</f>
        <v>0</v>
      </c>
      <c r="O25" s="68" t="n">
        <f aca="false">IF(AND(ISNUMBER(Raw_Data!M25),Raw_Data!M25&lt;0),1,0)</f>
        <v>0</v>
      </c>
      <c r="P25" s="68" t="n">
        <f aca="false">IF(OR(Raw_Data!B25&lt;&gt;TRIM(Raw_Data!B25),Raw_Data!D25&lt;&gt;TRIM(Raw_Data!D25)),1,0)</f>
        <v>0</v>
      </c>
      <c r="Q25" s="68" t="n">
        <f aca="false">IF(AND(TRIM(Raw_Data!A25)&lt;&gt;"",COUNTIF(Raw_Data!$A$2:$A$92,Raw_Data!A25)&gt;1),1,0)</f>
        <v>0</v>
      </c>
      <c r="R25" s="68" t="n">
        <f aca="false">IF(AND(ISNUMBER(SEARCH("not started",Raw_Data!H25)),OR(N(Raw_Data!M25)&gt;0,Raw_Data!K25&lt;&gt;"")),1,0)</f>
        <v>0</v>
      </c>
      <c r="S25" s="68" t="n">
        <f aca="false">IF(AND(ISERROR(SEARCH("not started",Raw_Data!H25)),Raw_Data!K25=""),1,0)</f>
        <v>0</v>
      </c>
      <c r="T25" s="68" t="n">
        <f aca="false">IF(TRIM(Raw_Data!A25)="",1,0)</f>
        <v>0</v>
      </c>
      <c r="U25" s="68" t="n">
        <f aca="false">IF(OR(D25=1,E25=1),0,IF(IFERROR(INDEX(Lists!$F$2:$F$85,MATCH(TRIM(Raw_Data!B25),Lists!$E$2:$E$85,0)),Raw_Data!C25)=Raw_Data!C25,0,1))</f>
        <v>0</v>
      </c>
      <c r="V25" s="68" t="n">
        <f aca="false">IF(SUM(C25:U25)&gt;0,1,0)</f>
        <v>1</v>
      </c>
    </row>
    <row r="26" customFormat="false" ht="15" hidden="false" customHeight="false" outlineLevel="0" collapsed="false">
      <c r="A26" s="66" t="n">
        <f aca="false">ROW()-1</f>
        <v>25</v>
      </c>
      <c r="B26" s="66" t="str">
        <f aca="false">IF(TRIM(Raw_Data!A26)="","(blank)",Raw_Data!A26)</f>
        <v>EMB-025</v>
      </c>
      <c r="C26" s="68" t="n">
        <f aca="false">IF(SUMPRODUCT(--EXACT(Raw_Data!B26,Lists!$E$2:$E$85))=0,1,0)</f>
        <v>0</v>
      </c>
      <c r="D26" s="68" t="n">
        <f aca="false">IF(TRIM(Raw_Data!C26)="",1,0)</f>
        <v>0</v>
      </c>
      <c r="E26" s="68" t="n">
        <f aca="false">IF(AND(TRIM(Raw_Data!C26)&lt;&gt;"",SUMPRODUCT(--EXACT(Raw_Data!C26,Lists!$C$2:$C$7))=0),1,0)</f>
        <v>0</v>
      </c>
      <c r="F26" s="68" t="n">
        <f aca="false">IF(SUMPRODUCT(--EXACT(Raw_Data!H26,Lists!$A$2:$A$8))=0,1,0)</f>
        <v>0</v>
      </c>
      <c r="G26" s="68" t="n">
        <f aca="false">IF(TRIM(Raw_Data!F26)="",1,0)</f>
        <v>0</v>
      </c>
      <c r="H26" s="68" t="n">
        <f aca="false">IF(G26=1,0,IF(IFERROR(FIND(".",Raw_Data!F26,FIND("@",Raw_Data!F26)),0)&gt;0,0,1))</f>
        <v>0</v>
      </c>
      <c r="I26" s="68" t="n">
        <f aca="false">IF(TRIM(Raw_Data!G26)="",1,0)</f>
        <v>0</v>
      </c>
      <c r="J26" s="68" t="n">
        <f aca="false">IF(I26=1,0,IF(OR(AND(LEFT(Raw_Data!G26,4)="+91 ",LEN(Raw_Data!G26)=15),AND(LEFT(Raw_Data!G26,7)="+91 11 ",LEN(Raw_Data!G26)=16)),0,1))</f>
        <v>1</v>
      </c>
      <c r="K26" s="68" t="n">
        <f aca="false">IF(TRIM(Raw_Data!I26)="",1,0)</f>
        <v>0</v>
      </c>
      <c r="L26" s="68" t="n">
        <f aca="false">IF(AND(TRIM(Raw_Data!N26)="",ISERROR(SEARCH("not started",Raw_Data!H26))),1,0)</f>
        <v>0</v>
      </c>
      <c r="M26" s="68" t="n">
        <f aca="false">IF(OR(ISTEXT(Raw_Data!J26),ISTEXT(Raw_Data!K26),ISTEXT(Raw_Data!L26)),1,0)</f>
        <v>0</v>
      </c>
      <c r="N26" s="68" t="n">
        <f aca="false">IF(Raw_Data!M26="",1,0)</f>
        <v>0</v>
      </c>
      <c r="O26" s="68" t="n">
        <f aca="false">IF(AND(ISNUMBER(Raw_Data!M26),Raw_Data!M26&lt;0),1,0)</f>
        <v>0</v>
      </c>
      <c r="P26" s="68" t="n">
        <f aca="false">IF(OR(Raw_Data!B26&lt;&gt;TRIM(Raw_Data!B26),Raw_Data!D26&lt;&gt;TRIM(Raw_Data!D26)),1,0)</f>
        <v>1</v>
      </c>
      <c r="Q26" s="68" t="n">
        <f aca="false">IF(AND(TRIM(Raw_Data!A26)&lt;&gt;"",COUNTIF(Raw_Data!$A$2:$A$92,Raw_Data!A26)&gt;1),1,0)</f>
        <v>0</v>
      </c>
      <c r="R26" s="68" t="n">
        <f aca="false">IF(AND(ISNUMBER(SEARCH("not started",Raw_Data!H26)),OR(N(Raw_Data!M26)&gt;0,Raw_Data!K26&lt;&gt;"")),1,0)</f>
        <v>0</v>
      </c>
      <c r="S26" s="68" t="n">
        <f aca="false">IF(AND(ISERROR(SEARCH("not started",Raw_Data!H26)),Raw_Data!K26=""),1,0)</f>
        <v>0</v>
      </c>
      <c r="T26" s="68" t="n">
        <f aca="false">IF(TRIM(Raw_Data!A26)="",1,0)</f>
        <v>0</v>
      </c>
      <c r="U26" s="68" t="n">
        <f aca="false">IF(OR(D26=1,E26=1),0,IF(IFERROR(INDEX(Lists!$F$2:$F$85,MATCH(TRIM(Raw_Data!B26),Lists!$E$2:$E$85,0)),Raw_Data!C26)=Raw_Data!C26,0,1))</f>
        <v>0</v>
      </c>
      <c r="V26" s="68" t="n">
        <f aca="false">IF(SUM(C26:U26)&gt;0,1,0)</f>
        <v>1</v>
      </c>
    </row>
    <row r="27" customFormat="false" ht="15" hidden="false" customHeight="false" outlineLevel="0" collapsed="false">
      <c r="A27" s="66" t="n">
        <f aca="false">ROW()-1</f>
        <v>26</v>
      </c>
      <c r="B27" s="66" t="str">
        <f aca="false">IF(TRIM(Raw_Data!A27)="","(blank)",Raw_Data!A27)</f>
        <v>EMB-026</v>
      </c>
      <c r="C27" s="68" t="n">
        <f aca="false">IF(SUMPRODUCT(--EXACT(Raw_Data!B27,Lists!$E$2:$E$85))=0,1,0)</f>
        <v>0</v>
      </c>
      <c r="D27" s="68" t="n">
        <f aca="false">IF(TRIM(Raw_Data!C27)="",1,0)</f>
        <v>0</v>
      </c>
      <c r="E27" s="68" t="n">
        <f aca="false">IF(AND(TRIM(Raw_Data!C27)&lt;&gt;"",SUMPRODUCT(--EXACT(Raw_Data!C27,Lists!$C$2:$C$7))=0),1,0)</f>
        <v>0</v>
      </c>
      <c r="F27" s="68" t="n">
        <f aca="false">IF(SUMPRODUCT(--EXACT(Raw_Data!H27,Lists!$A$2:$A$8))=0,1,0)</f>
        <v>0</v>
      </c>
      <c r="G27" s="68" t="n">
        <f aca="false">IF(TRIM(Raw_Data!F27)="",1,0)</f>
        <v>0</v>
      </c>
      <c r="H27" s="68" t="n">
        <f aca="false">IF(G27=1,0,IF(IFERROR(FIND(".",Raw_Data!F27,FIND("@",Raw_Data!F27)),0)&gt;0,0,1))</f>
        <v>0</v>
      </c>
      <c r="I27" s="68" t="n">
        <f aca="false">IF(TRIM(Raw_Data!G27)="",1,0)</f>
        <v>0</v>
      </c>
      <c r="J27" s="68" t="n">
        <f aca="false">IF(I27=1,0,IF(OR(AND(LEFT(Raw_Data!G27,4)="+91 ",LEN(Raw_Data!G27)=15),AND(LEFT(Raw_Data!G27,7)="+91 11 ",LEN(Raw_Data!G27)=16)),0,1))</f>
        <v>0</v>
      </c>
      <c r="K27" s="68" t="n">
        <f aca="false">IF(TRIM(Raw_Data!I27)="",1,0)</f>
        <v>0</v>
      </c>
      <c r="L27" s="68" t="n">
        <f aca="false">IF(AND(TRIM(Raw_Data!N27)="",ISERROR(SEARCH("not started",Raw_Data!H27))),1,0)</f>
        <v>0</v>
      </c>
      <c r="M27" s="68" t="n">
        <f aca="false">IF(OR(ISTEXT(Raw_Data!J27),ISTEXT(Raw_Data!K27),ISTEXT(Raw_Data!L27)),1,0)</f>
        <v>0</v>
      </c>
      <c r="N27" s="68" t="n">
        <f aca="false">IF(Raw_Data!M27="",1,0)</f>
        <v>0</v>
      </c>
      <c r="O27" s="68" t="n">
        <f aca="false">IF(AND(ISNUMBER(Raw_Data!M27),Raw_Data!M27&lt;0),1,0)</f>
        <v>0</v>
      </c>
      <c r="P27" s="68" t="n">
        <f aca="false">IF(OR(Raw_Data!B27&lt;&gt;TRIM(Raw_Data!B27),Raw_Data!D27&lt;&gt;TRIM(Raw_Data!D27)),1,0)</f>
        <v>0</v>
      </c>
      <c r="Q27" s="68" t="n">
        <f aca="false">IF(AND(TRIM(Raw_Data!A27)&lt;&gt;"",COUNTIF(Raw_Data!$A$2:$A$92,Raw_Data!A27)&gt;1),1,0)</f>
        <v>0</v>
      </c>
      <c r="R27" s="68" t="n">
        <f aca="false">IF(AND(ISNUMBER(SEARCH("not started",Raw_Data!H27)),OR(N(Raw_Data!M27)&gt;0,Raw_Data!K27&lt;&gt;"")),1,0)</f>
        <v>0</v>
      </c>
      <c r="S27" s="68" t="n">
        <f aca="false">IF(AND(ISERROR(SEARCH("not started",Raw_Data!H27)),Raw_Data!K27=""),1,0)</f>
        <v>0</v>
      </c>
      <c r="T27" s="68" t="n">
        <f aca="false">IF(TRIM(Raw_Data!A27)="",1,0)</f>
        <v>0</v>
      </c>
      <c r="U27" s="68" t="n">
        <f aca="false">IF(OR(D27=1,E27=1),0,IF(IFERROR(INDEX(Lists!$F$2:$F$85,MATCH(TRIM(Raw_Data!B27),Lists!$E$2:$E$85,0)),Raw_Data!C27)=Raw_Data!C27,0,1))</f>
        <v>0</v>
      </c>
      <c r="V27" s="68" t="n">
        <f aca="false">IF(SUM(C27:U27)&gt;0,1,0)</f>
        <v>0</v>
      </c>
    </row>
    <row r="28" customFormat="false" ht="15" hidden="false" customHeight="false" outlineLevel="0" collapsed="false">
      <c r="A28" s="66" t="n">
        <f aca="false">ROW()-1</f>
        <v>27</v>
      </c>
      <c r="B28" s="66" t="str">
        <f aca="false">IF(TRIM(Raw_Data!A28)="","(blank)",Raw_Data!A28)</f>
        <v>EMB-027</v>
      </c>
      <c r="C28" s="68" t="n">
        <f aca="false">IF(SUMPRODUCT(--EXACT(Raw_Data!B28,Lists!$E$2:$E$85))=0,1,0)</f>
        <v>0</v>
      </c>
      <c r="D28" s="68" t="n">
        <f aca="false">IF(TRIM(Raw_Data!C28)="",1,0)</f>
        <v>0</v>
      </c>
      <c r="E28" s="68" t="n">
        <f aca="false">IF(AND(TRIM(Raw_Data!C28)&lt;&gt;"",SUMPRODUCT(--EXACT(Raw_Data!C28,Lists!$C$2:$C$7))=0),1,0)</f>
        <v>0</v>
      </c>
      <c r="F28" s="68" t="n">
        <f aca="false">IF(SUMPRODUCT(--EXACT(Raw_Data!H28,Lists!$A$2:$A$8))=0,1,0)</f>
        <v>0</v>
      </c>
      <c r="G28" s="68" t="n">
        <f aca="false">IF(TRIM(Raw_Data!F28)="",1,0)</f>
        <v>0</v>
      </c>
      <c r="H28" s="68" t="n">
        <f aca="false">IF(G28=1,0,IF(IFERROR(FIND(".",Raw_Data!F28,FIND("@",Raw_Data!F28)),0)&gt;0,0,1))</f>
        <v>0</v>
      </c>
      <c r="I28" s="68" t="n">
        <f aca="false">IF(TRIM(Raw_Data!G28)="",1,0)</f>
        <v>0</v>
      </c>
      <c r="J28" s="68" t="n">
        <f aca="false">IF(I28=1,0,IF(OR(AND(LEFT(Raw_Data!G28,4)="+91 ",LEN(Raw_Data!G28)=15),AND(LEFT(Raw_Data!G28,7)="+91 11 ",LEN(Raw_Data!G28)=16)),0,1))</f>
        <v>0</v>
      </c>
      <c r="K28" s="68" t="n">
        <f aca="false">IF(TRIM(Raw_Data!I28)="",1,0)</f>
        <v>0</v>
      </c>
      <c r="L28" s="68" t="n">
        <f aca="false">IF(AND(TRIM(Raw_Data!N28)="",ISERROR(SEARCH("not started",Raw_Data!H28))),1,0)</f>
        <v>0</v>
      </c>
      <c r="M28" s="68" t="n">
        <f aca="false">IF(OR(ISTEXT(Raw_Data!J28),ISTEXT(Raw_Data!K28),ISTEXT(Raw_Data!L28)),1,0)</f>
        <v>0</v>
      </c>
      <c r="N28" s="68" t="n">
        <f aca="false">IF(Raw_Data!M28="",1,0)</f>
        <v>0</v>
      </c>
      <c r="O28" s="68" t="n">
        <f aca="false">IF(AND(ISNUMBER(Raw_Data!M28),Raw_Data!M28&lt;0),1,0)</f>
        <v>0</v>
      </c>
      <c r="P28" s="68" t="n">
        <f aca="false">IF(OR(Raw_Data!B28&lt;&gt;TRIM(Raw_Data!B28),Raw_Data!D28&lt;&gt;TRIM(Raw_Data!D28)),1,0)</f>
        <v>0</v>
      </c>
      <c r="Q28" s="68" t="n">
        <f aca="false">IF(AND(TRIM(Raw_Data!A28)&lt;&gt;"",COUNTIF(Raw_Data!$A$2:$A$92,Raw_Data!A28)&gt;1),1,0)</f>
        <v>0</v>
      </c>
      <c r="R28" s="68" t="n">
        <f aca="false">IF(AND(ISNUMBER(SEARCH("not started",Raw_Data!H28)),OR(N(Raw_Data!M28)&gt;0,Raw_Data!K28&lt;&gt;"")),1,0)</f>
        <v>0</v>
      </c>
      <c r="S28" s="68" t="n">
        <f aca="false">IF(AND(ISERROR(SEARCH("not started",Raw_Data!H28)),Raw_Data!K28=""),1,0)</f>
        <v>0</v>
      </c>
      <c r="T28" s="68" t="n">
        <f aca="false">IF(TRIM(Raw_Data!A28)="",1,0)</f>
        <v>0</v>
      </c>
      <c r="U28" s="68" t="n">
        <f aca="false">IF(OR(D28=1,E28=1),0,IF(IFERROR(INDEX(Lists!$F$2:$F$85,MATCH(TRIM(Raw_Data!B28),Lists!$E$2:$E$85,0)),Raw_Data!C28)=Raw_Data!C28,0,1))</f>
        <v>0</v>
      </c>
      <c r="V28" s="68" t="n">
        <f aca="false">IF(SUM(C28:U28)&gt;0,1,0)</f>
        <v>0</v>
      </c>
    </row>
    <row r="29" customFormat="false" ht="15" hidden="false" customHeight="false" outlineLevel="0" collapsed="false">
      <c r="A29" s="66" t="n">
        <f aca="false">ROW()-1</f>
        <v>28</v>
      </c>
      <c r="B29" s="66" t="str">
        <f aca="false">IF(TRIM(Raw_Data!A29)="","(blank)",Raw_Data!A29)</f>
        <v>EMB-028</v>
      </c>
      <c r="C29" s="68" t="n">
        <f aca="false">IF(SUMPRODUCT(--EXACT(Raw_Data!B29,Lists!$E$2:$E$85))=0,1,0)</f>
        <v>0</v>
      </c>
      <c r="D29" s="68" t="n">
        <f aca="false">IF(TRIM(Raw_Data!C29)="",1,0)</f>
        <v>0</v>
      </c>
      <c r="E29" s="68" t="n">
        <f aca="false">IF(AND(TRIM(Raw_Data!C29)&lt;&gt;"",SUMPRODUCT(--EXACT(Raw_Data!C29,Lists!$C$2:$C$7))=0),1,0)</f>
        <v>0</v>
      </c>
      <c r="F29" s="68" t="n">
        <f aca="false">IF(SUMPRODUCT(--EXACT(Raw_Data!H29,Lists!$A$2:$A$8))=0,1,0)</f>
        <v>0</v>
      </c>
      <c r="G29" s="68" t="n">
        <f aca="false">IF(TRIM(Raw_Data!F29)="",1,0)</f>
        <v>0</v>
      </c>
      <c r="H29" s="68" t="n">
        <f aca="false">IF(G29=1,0,IF(IFERROR(FIND(".",Raw_Data!F29,FIND("@",Raw_Data!F29)),0)&gt;0,0,1))</f>
        <v>0</v>
      </c>
      <c r="I29" s="68" t="n">
        <f aca="false">IF(TRIM(Raw_Data!G29)="",1,0)</f>
        <v>0</v>
      </c>
      <c r="J29" s="68" t="n">
        <f aca="false">IF(I29=1,0,IF(OR(AND(LEFT(Raw_Data!G29,4)="+91 ",LEN(Raw_Data!G29)=15),AND(LEFT(Raw_Data!G29,7)="+91 11 ",LEN(Raw_Data!G29)=16)),0,1))</f>
        <v>0</v>
      </c>
      <c r="K29" s="68" t="n">
        <f aca="false">IF(TRIM(Raw_Data!I29)="",1,0)</f>
        <v>0</v>
      </c>
      <c r="L29" s="68" t="n">
        <f aca="false">IF(AND(TRIM(Raw_Data!N29)="",ISERROR(SEARCH("not started",Raw_Data!H29))),1,0)</f>
        <v>0</v>
      </c>
      <c r="M29" s="68" t="n">
        <f aca="false">IF(OR(ISTEXT(Raw_Data!J29),ISTEXT(Raw_Data!K29),ISTEXT(Raw_Data!L29)),1,0)</f>
        <v>0</v>
      </c>
      <c r="N29" s="68" t="n">
        <f aca="false">IF(Raw_Data!M29="",1,0)</f>
        <v>0</v>
      </c>
      <c r="O29" s="68" t="n">
        <f aca="false">IF(AND(ISNUMBER(Raw_Data!M29),Raw_Data!M29&lt;0),1,0)</f>
        <v>0</v>
      </c>
      <c r="P29" s="68" t="n">
        <f aca="false">IF(OR(Raw_Data!B29&lt;&gt;TRIM(Raw_Data!B29),Raw_Data!D29&lt;&gt;TRIM(Raw_Data!D29)),1,0)</f>
        <v>0</v>
      </c>
      <c r="Q29" s="68" t="n">
        <f aca="false">IF(AND(TRIM(Raw_Data!A29)&lt;&gt;"",COUNTIF(Raw_Data!$A$2:$A$92,Raw_Data!A29)&gt;1),1,0)</f>
        <v>0</v>
      </c>
      <c r="R29" s="68" t="n">
        <f aca="false">IF(AND(ISNUMBER(SEARCH("not started",Raw_Data!H29)),OR(N(Raw_Data!M29)&gt;0,Raw_Data!K29&lt;&gt;"")),1,0)</f>
        <v>1</v>
      </c>
      <c r="S29" s="68" t="n">
        <f aca="false">IF(AND(ISERROR(SEARCH("not started",Raw_Data!H29)),Raw_Data!K29=""),1,0)</f>
        <v>0</v>
      </c>
      <c r="T29" s="68" t="n">
        <f aca="false">IF(TRIM(Raw_Data!A29)="",1,0)</f>
        <v>0</v>
      </c>
      <c r="U29" s="68" t="n">
        <f aca="false">IF(OR(D29=1,E29=1),0,IF(IFERROR(INDEX(Lists!$F$2:$F$85,MATCH(TRIM(Raw_Data!B29),Lists!$E$2:$E$85,0)),Raw_Data!C29)=Raw_Data!C29,0,1))</f>
        <v>0</v>
      </c>
      <c r="V29" s="68" t="n">
        <f aca="false">IF(SUM(C29:U29)&gt;0,1,0)</f>
        <v>1</v>
      </c>
    </row>
    <row r="30" customFormat="false" ht="15" hidden="false" customHeight="false" outlineLevel="0" collapsed="false">
      <c r="A30" s="66" t="n">
        <f aca="false">ROW()-1</f>
        <v>29</v>
      </c>
      <c r="B30" s="66" t="str">
        <f aca="false">IF(TRIM(Raw_Data!A30)="","(blank)",Raw_Data!A30)</f>
        <v>EMB-029</v>
      </c>
      <c r="C30" s="68" t="n">
        <f aca="false">IF(SUMPRODUCT(--EXACT(Raw_Data!B30,Lists!$E$2:$E$85))=0,1,0)</f>
        <v>0</v>
      </c>
      <c r="D30" s="68" t="n">
        <f aca="false">IF(TRIM(Raw_Data!C30)="",1,0)</f>
        <v>0</v>
      </c>
      <c r="E30" s="68" t="n">
        <f aca="false">IF(AND(TRIM(Raw_Data!C30)&lt;&gt;"",SUMPRODUCT(--EXACT(Raw_Data!C30,Lists!$C$2:$C$7))=0),1,0)</f>
        <v>0</v>
      </c>
      <c r="F30" s="68" t="n">
        <f aca="false">IF(SUMPRODUCT(--EXACT(Raw_Data!H30,Lists!$A$2:$A$8))=0,1,0)</f>
        <v>0</v>
      </c>
      <c r="G30" s="68" t="n">
        <f aca="false">IF(TRIM(Raw_Data!F30)="",1,0)</f>
        <v>0</v>
      </c>
      <c r="H30" s="68" t="n">
        <f aca="false">IF(G30=1,0,IF(IFERROR(FIND(".",Raw_Data!F30,FIND("@",Raw_Data!F30)),0)&gt;0,0,1))</f>
        <v>0</v>
      </c>
      <c r="I30" s="68" t="n">
        <f aca="false">IF(TRIM(Raw_Data!G30)="",1,0)</f>
        <v>0</v>
      </c>
      <c r="J30" s="68" t="n">
        <f aca="false">IF(I30=1,0,IF(OR(AND(LEFT(Raw_Data!G30,4)="+91 ",LEN(Raw_Data!G30)=15),AND(LEFT(Raw_Data!G30,7)="+91 11 ",LEN(Raw_Data!G30)=16)),0,1))</f>
        <v>0</v>
      </c>
      <c r="K30" s="68" t="n">
        <f aca="false">IF(TRIM(Raw_Data!I30)="",1,0)</f>
        <v>0</v>
      </c>
      <c r="L30" s="68" t="n">
        <f aca="false">IF(AND(TRIM(Raw_Data!N30)="",ISERROR(SEARCH("not started",Raw_Data!H30))),1,0)</f>
        <v>0</v>
      </c>
      <c r="M30" s="68" t="n">
        <f aca="false">IF(OR(ISTEXT(Raw_Data!J30),ISTEXT(Raw_Data!K30),ISTEXT(Raw_Data!L30)),1,0)</f>
        <v>0</v>
      </c>
      <c r="N30" s="68" t="n">
        <f aca="false">IF(Raw_Data!M30="",1,0)</f>
        <v>0</v>
      </c>
      <c r="O30" s="68" t="n">
        <f aca="false">IF(AND(ISNUMBER(Raw_Data!M30),Raw_Data!M30&lt;0),1,0)</f>
        <v>0</v>
      </c>
      <c r="P30" s="68" t="n">
        <f aca="false">IF(OR(Raw_Data!B30&lt;&gt;TRIM(Raw_Data!B30),Raw_Data!D30&lt;&gt;TRIM(Raw_Data!D30)),1,0)</f>
        <v>0</v>
      </c>
      <c r="Q30" s="68" t="n">
        <f aca="false">IF(AND(TRIM(Raw_Data!A30)&lt;&gt;"",COUNTIF(Raw_Data!$A$2:$A$92,Raw_Data!A30)&gt;1),1,0)</f>
        <v>0</v>
      </c>
      <c r="R30" s="68" t="n">
        <f aca="false">IF(AND(ISNUMBER(SEARCH("not started",Raw_Data!H30)),OR(N(Raw_Data!M30)&gt;0,Raw_Data!K30&lt;&gt;"")),1,0)</f>
        <v>0</v>
      </c>
      <c r="S30" s="68" t="n">
        <f aca="false">IF(AND(ISERROR(SEARCH("not started",Raw_Data!H30)),Raw_Data!K30=""),1,0)</f>
        <v>0</v>
      </c>
      <c r="T30" s="68" t="n">
        <f aca="false">IF(TRIM(Raw_Data!A30)="",1,0)</f>
        <v>0</v>
      </c>
      <c r="U30" s="68" t="n">
        <f aca="false">IF(OR(D30=1,E30=1),0,IF(IFERROR(INDEX(Lists!$F$2:$F$85,MATCH(TRIM(Raw_Data!B30),Lists!$E$2:$E$85,0)),Raw_Data!C30)=Raw_Data!C30,0,1))</f>
        <v>0</v>
      </c>
      <c r="V30" s="68" t="n">
        <f aca="false">IF(SUM(C30:U30)&gt;0,1,0)</f>
        <v>0</v>
      </c>
    </row>
    <row r="31" customFormat="false" ht="15" hidden="false" customHeight="false" outlineLevel="0" collapsed="false">
      <c r="A31" s="66" t="n">
        <f aca="false">ROW()-1</f>
        <v>30</v>
      </c>
      <c r="B31" s="66" t="str">
        <f aca="false">IF(TRIM(Raw_Data!A31)="","(blank)",Raw_Data!A31)</f>
        <v>EMB-030</v>
      </c>
      <c r="C31" s="68" t="n">
        <f aca="false">IF(SUMPRODUCT(--EXACT(Raw_Data!B31,Lists!$E$2:$E$85))=0,1,0)</f>
        <v>0</v>
      </c>
      <c r="D31" s="68" t="n">
        <f aca="false">IF(TRIM(Raw_Data!C31)="",1,0)</f>
        <v>0</v>
      </c>
      <c r="E31" s="68" t="n">
        <f aca="false">IF(AND(TRIM(Raw_Data!C31)&lt;&gt;"",SUMPRODUCT(--EXACT(Raw_Data!C31,Lists!$C$2:$C$7))=0),1,0)</f>
        <v>0</v>
      </c>
      <c r="F31" s="68" t="n">
        <f aca="false">IF(SUMPRODUCT(--EXACT(Raw_Data!H31,Lists!$A$2:$A$8))=0,1,0)</f>
        <v>1</v>
      </c>
      <c r="G31" s="68" t="n">
        <f aca="false">IF(TRIM(Raw_Data!F31)="",1,0)</f>
        <v>0</v>
      </c>
      <c r="H31" s="68" t="n">
        <f aca="false">IF(G31=1,0,IF(IFERROR(FIND(".",Raw_Data!F31,FIND("@",Raw_Data!F31)),0)&gt;0,0,1))</f>
        <v>0</v>
      </c>
      <c r="I31" s="68" t="n">
        <f aca="false">IF(TRIM(Raw_Data!G31)="",1,0)</f>
        <v>0</v>
      </c>
      <c r="J31" s="68" t="n">
        <f aca="false">IF(I31=1,0,IF(OR(AND(LEFT(Raw_Data!G31,4)="+91 ",LEN(Raw_Data!G31)=15),AND(LEFT(Raw_Data!G31,7)="+91 11 ",LEN(Raw_Data!G31)=16)),0,1))</f>
        <v>0</v>
      </c>
      <c r="K31" s="68" t="n">
        <f aca="false">IF(TRIM(Raw_Data!I31)="",1,0)</f>
        <v>0</v>
      </c>
      <c r="L31" s="68" t="n">
        <f aca="false">IF(AND(TRIM(Raw_Data!N31)="",ISERROR(SEARCH("not started",Raw_Data!H31))),1,0)</f>
        <v>0</v>
      </c>
      <c r="M31" s="68" t="n">
        <f aca="false">IF(OR(ISTEXT(Raw_Data!J31),ISTEXT(Raw_Data!K31),ISTEXT(Raw_Data!L31)),1,0)</f>
        <v>0</v>
      </c>
      <c r="N31" s="68" t="n">
        <f aca="false">IF(Raw_Data!M31="",1,0)</f>
        <v>0</v>
      </c>
      <c r="O31" s="68" t="n">
        <f aca="false">IF(AND(ISNUMBER(Raw_Data!M31),Raw_Data!M31&lt;0),1,0)</f>
        <v>0</v>
      </c>
      <c r="P31" s="68" t="n">
        <f aca="false">IF(OR(Raw_Data!B31&lt;&gt;TRIM(Raw_Data!B31),Raw_Data!D31&lt;&gt;TRIM(Raw_Data!D31)),1,0)</f>
        <v>0</v>
      </c>
      <c r="Q31" s="68" t="n">
        <f aca="false">IF(AND(TRIM(Raw_Data!A31)&lt;&gt;"",COUNTIF(Raw_Data!$A$2:$A$92,Raw_Data!A31)&gt;1),1,0)</f>
        <v>0</v>
      </c>
      <c r="R31" s="68" t="n">
        <f aca="false">IF(AND(ISNUMBER(SEARCH("not started",Raw_Data!H31)),OR(N(Raw_Data!M31)&gt;0,Raw_Data!K31&lt;&gt;"")),1,0)</f>
        <v>0</v>
      </c>
      <c r="S31" s="68" t="n">
        <f aca="false">IF(AND(ISERROR(SEARCH("not started",Raw_Data!H31)),Raw_Data!K31=""),1,0)</f>
        <v>0</v>
      </c>
      <c r="T31" s="68" t="n">
        <f aca="false">IF(TRIM(Raw_Data!A31)="",1,0)</f>
        <v>0</v>
      </c>
      <c r="U31" s="68" t="n">
        <f aca="false">IF(OR(D31=1,E31=1),0,IF(IFERROR(INDEX(Lists!$F$2:$F$85,MATCH(TRIM(Raw_Data!B31),Lists!$E$2:$E$85,0)),Raw_Data!C31)=Raw_Data!C31,0,1))</f>
        <v>0</v>
      </c>
      <c r="V31" s="68" t="n">
        <f aca="false">IF(SUM(C31:U31)&gt;0,1,0)</f>
        <v>1</v>
      </c>
    </row>
    <row r="32" customFormat="false" ht="15" hidden="false" customHeight="false" outlineLevel="0" collapsed="false">
      <c r="A32" s="66" t="n">
        <f aca="false">ROW()-1</f>
        <v>31</v>
      </c>
      <c r="B32" s="66" t="str">
        <f aca="false">IF(TRIM(Raw_Data!A32)="","(blank)",Raw_Data!A32)</f>
        <v>EMB-031</v>
      </c>
      <c r="C32" s="68" t="n">
        <f aca="false">IF(SUMPRODUCT(--EXACT(Raw_Data!B32,Lists!$E$2:$E$85))=0,1,0)</f>
        <v>0</v>
      </c>
      <c r="D32" s="68" t="n">
        <f aca="false">IF(TRIM(Raw_Data!C32)="",1,0)</f>
        <v>0</v>
      </c>
      <c r="E32" s="68" t="n">
        <f aca="false">IF(AND(TRIM(Raw_Data!C32)&lt;&gt;"",SUMPRODUCT(--EXACT(Raw_Data!C32,Lists!$C$2:$C$7))=0),1,0)</f>
        <v>0</v>
      </c>
      <c r="F32" s="68" t="n">
        <f aca="false">IF(SUMPRODUCT(--EXACT(Raw_Data!H32,Lists!$A$2:$A$8))=0,1,0)</f>
        <v>0</v>
      </c>
      <c r="G32" s="68" t="n">
        <f aca="false">IF(TRIM(Raw_Data!F32)="",1,0)</f>
        <v>0</v>
      </c>
      <c r="H32" s="68" t="n">
        <f aca="false">IF(G32=1,0,IF(IFERROR(FIND(".",Raw_Data!F32,FIND("@",Raw_Data!F32)),0)&gt;0,0,1))</f>
        <v>0</v>
      </c>
      <c r="I32" s="68" t="n">
        <f aca="false">IF(TRIM(Raw_Data!G32)="",1,0)</f>
        <v>0</v>
      </c>
      <c r="J32" s="68" t="n">
        <f aca="false">IF(I32=1,0,IF(OR(AND(LEFT(Raw_Data!G32,4)="+91 ",LEN(Raw_Data!G32)=15),AND(LEFT(Raw_Data!G32,7)="+91 11 ",LEN(Raw_Data!G32)=16)),0,1))</f>
        <v>0</v>
      </c>
      <c r="K32" s="68" t="n">
        <f aca="false">IF(TRIM(Raw_Data!I32)="",1,0)</f>
        <v>0</v>
      </c>
      <c r="L32" s="68" t="n">
        <f aca="false">IF(AND(TRIM(Raw_Data!N32)="",ISERROR(SEARCH("not started",Raw_Data!H32))),1,0)</f>
        <v>1</v>
      </c>
      <c r="M32" s="68" t="n">
        <f aca="false">IF(OR(ISTEXT(Raw_Data!J32),ISTEXT(Raw_Data!K32),ISTEXT(Raw_Data!L32)),1,0)</f>
        <v>0</v>
      </c>
      <c r="N32" s="68" t="n">
        <f aca="false">IF(Raw_Data!M32="",1,0)</f>
        <v>0</v>
      </c>
      <c r="O32" s="68" t="n">
        <f aca="false">IF(AND(ISNUMBER(Raw_Data!M32),Raw_Data!M32&lt;0),1,0)</f>
        <v>0</v>
      </c>
      <c r="P32" s="68" t="n">
        <f aca="false">IF(OR(Raw_Data!B32&lt;&gt;TRIM(Raw_Data!B32),Raw_Data!D32&lt;&gt;TRIM(Raw_Data!D32)),1,0)</f>
        <v>0</v>
      </c>
      <c r="Q32" s="68" t="n">
        <f aca="false">IF(AND(TRIM(Raw_Data!A32)&lt;&gt;"",COUNTIF(Raw_Data!$A$2:$A$92,Raw_Data!A32)&gt;1),1,0)</f>
        <v>0</v>
      </c>
      <c r="R32" s="68" t="n">
        <f aca="false">IF(AND(ISNUMBER(SEARCH("not started",Raw_Data!H32)),OR(N(Raw_Data!M32)&gt;0,Raw_Data!K32&lt;&gt;"")),1,0)</f>
        <v>0</v>
      </c>
      <c r="S32" s="68" t="n">
        <f aca="false">IF(AND(ISERROR(SEARCH("not started",Raw_Data!H32)),Raw_Data!K32=""),1,0)</f>
        <v>0</v>
      </c>
      <c r="T32" s="68" t="n">
        <f aca="false">IF(TRIM(Raw_Data!A32)="",1,0)</f>
        <v>0</v>
      </c>
      <c r="U32" s="68" t="n">
        <f aca="false">IF(OR(D32=1,E32=1),0,IF(IFERROR(INDEX(Lists!$F$2:$F$85,MATCH(TRIM(Raw_Data!B32),Lists!$E$2:$E$85,0)),Raw_Data!C32)=Raw_Data!C32,0,1))</f>
        <v>0</v>
      </c>
      <c r="V32" s="68" t="n">
        <f aca="false">IF(SUM(C32:U32)&gt;0,1,0)</f>
        <v>1</v>
      </c>
    </row>
    <row r="33" customFormat="false" ht="15" hidden="false" customHeight="false" outlineLevel="0" collapsed="false">
      <c r="A33" s="66" t="n">
        <f aca="false">ROW()-1</f>
        <v>32</v>
      </c>
      <c r="B33" s="66" t="str">
        <f aca="false">IF(TRIM(Raw_Data!A33)="","(blank)",Raw_Data!A33)</f>
        <v>EMB-032</v>
      </c>
      <c r="C33" s="68" t="n">
        <f aca="false">IF(SUMPRODUCT(--EXACT(Raw_Data!B33,Lists!$E$2:$E$85))=0,1,0)</f>
        <v>0</v>
      </c>
      <c r="D33" s="68" t="n">
        <f aca="false">IF(TRIM(Raw_Data!C33)="",1,0)</f>
        <v>0</v>
      </c>
      <c r="E33" s="68" t="n">
        <f aca="false">IF(AND(TRIM(Raw_Data!C33)&lt;&gt;"",SUMPRODUCT(--EXACT(Raw_Data!C33,Lists!$C$2:$C$7))=0),1,0)</f>
        <v>0</v>
      </c>
      <c r="F33" s="68" t="n">
        <f aca="false">IF(SUMPRODUCT(--EXACT(Raw_Data!H33,Lists!$A$2:$A$8))=0,1,0)</f>
        <v>0</v>
      </c>
      <c r="G33" s="68" t="n">
        <f aca="false">IF(TRIM(Raw_Data!F33)="",1,0)</f>
        <v>0</v>
      </c>
      <c r="H33" s="68" t="n">
        <f aca="false">IF(G33=1,0,IF(IFERROR(FIND(".",Raw_Data!F33,FIND("@",Raw_Data!F33)),0)&gt;0,0,1))</f>
        <v>0</v>
      </c>
      <c r="I33" s="68" t="n">
        <f aca="false">IF(TRIM(Raw_Data!G33)="",1,0)</f>
        <v>0</v>
      </c>
      <c r="J33" s="68" t="n">
        <f aca="false">IF(I33=1,0,IF(OR(AND(LEFT(Raw_Data!G33,4)="+91 ",LEN(Raw_Data!G33)=15),AND(LEFT(Raw_Data!G33,7)="+91 11 ",LEN(Raw_Data!G33)=16)),0,1))</f>
        <v>0</v>
      </c>
      <c r="K33" s="68" t="n">
        <f aca="false">IF(TRIM(Raw_Data!I33)="",1,0)</f>
        <v>0</v>
      </c>
      <c r="L33" s="68" t="n">
        <f aca="false">IF(AND(TRIM(Raw_Data!N33)="",ISERROR(SEARCH("not started",Raw_Data!H33))),1,0)</f>
        <v>0</v>
      </c>
      <c r="M33" s="68" t="n">
        <f aca="false">IF(OR(ISTEXT(Raw_Data!J33),ISTEXT(Raw_Data!K33),ISTEXT(Raw_Data!L33)),1,0)</f>
        <v>0</v>
      </c>
      <c r="N33" s="68" t="n">
        <f aca="false">IF(Raw_Data!M33="",1,0)</f>
        <v>0</v>
      </c>
      <c r="O33" s="68" t="n">
        <f aca="false">IF(AND(ISNUMBER(Raw_Data!M33),Raw_Data!M33&lt;0),1,0)</f>
        <v>0</v>
      </c>
      <c r="P33" s="68" t="n">
        <f aca="false">IF(OR(Raw_Data!B33&lt;&gt;TRIM(Raw_Data!B33),Raw_Data!D33&lt;&gt;TRIM(Raw_Data!D33)),1,0)</f>
        <v>0</v>
      </c>
      <c r="Q33" s="68" t="n">
        <f aca="false">IF(AND(TRIM(Raw_Data!A33)&lt;&gt;"",COUNTIF(Raw_Data!$A$2:$A$92,Raw_Data!A33)&gt;1),1,0)</f>
        <v>0</v>
      </c>
      <c r="R33" s="68" t="n">
        <f aca="false">IF(AND(ISNUMBER(SEARCH("not started",Raw_Data!H33)),OR(N(Raw_Data!M33)&gt;0,Raw_Data!K33&lt;&gt;"")),1,0)</f>
        <v>0</v>
      </c>
      <c r="S33" s="68" t="n">
        <f aca="false">IF(AND(ISERROR(SEARCH("not started",Raw_Data!H33)),Raw_Data!K33=""),1,0)</f>
        <v>1</v>
      </c>
      <c r="T33" s="68" t="n">
        <f aca="false">IF(TRIM(Raw_Data!A33)="",1,0)</f>
        <v>0</v>
      </c>
      <c r="U33" s="68" t="n">
        <f aca="false">IF(OR(D33=1,E33=1),0,IF(IFERROR(INDEX(Lists!$F$2:$F$85,MATCH(TRIM(Raw_Data!B33),Lists!$E$2:$E$85,0)),Raw_Data!C33)=Raw_Data!C33,0,1))</f>
        <v>0</v>
      </c>
      <c r="V33" s="68" t="n">
        <f aca="false">IF(SUM(C33:U33)&gt;0,1,0)</f>
        <v>1</v>
      </c>
    </row>
    <row r="34" customFormat="false" ht="15" hidden="false" customHeight="false" outlineLevel="0" collapsed="false">
      <c r="A34" s="66" t="n">
        <f aca="false">ROW()-1</f>
        <v>33</v>
      </c>
      <c r="B34" s="66" t="str">
        <f aca="false">IF(TRIM(Raw_Data!A34)="","(blank)",Raw_Data!A34)</f>
        <v>EMB-033</v>
      </c>
      <c r="C34" s="68" t="n">
        <f aca="false">IF(SUMPRODUCT(--EXACT(Raw_Data!B34,Lists!$E$2:$E$85))=0,1,0)</f>
        <v>0</v>
      </c>
      <c r="D34" s="68" t="n">
        <f aca="false">IF(TRIM(Raw_Data!C34)="",1,0)</f>
        <v>0</v>
      </c>
      <c r="E34" s="68" t="n">
        <f aca="false">IF(AND(TRIM(Raw_Data!C34)&lt;&gt;"",SUMPRODUCT(--EXACT(Raw_Data!C34,Lists!$C$2:$C$7))=0),1,0)</f>
        <v>0</v>
      </c>
      <c r="F34" s="68" t="n">
        <f aca="false">IF(SUMPRODUCT(--EXACT(Raw_Data!H34,Lists!$A$2:$A$8))=0,1,0)</f>
        <v>1</v>
      </c>
      <c r="G34" s="68" t="n">
        <f aca="false">IF(TRIM(Raw_Data!F34)="",1,0)</f>
        <v>0</v>
      </c>
      <c r="H34" s="68" t="n">
        <f aca="false">IF(G34=1,0,IF(IFERROR(FIND(".",Raw_Data!F34,FIND("@",Raw_Data!F34)),0)&gt;0,0,1))</f>
        <v>1</v>
      </c>
      <c r="I34" s="68" t="n">
        <f aca="false">IF(TRIM(Raw_Data!G34)="",1,0)</f>
        <v>0</v>
      </c>
      <c r="J34" s="68" t="n">
        <f aca="false">IF(I34=1,0,IF(OR(AND(LEFT(Raw_Data!G34,4)="+91 ",LEN(Raw_Data!G34)=15),AND(LEFT(Raw_Data!G34,7)="+91 11 ",LEN(Raw_Data!G34)=16)),0,1))</f>
        <v>0</v>
      </c>
      <c r="K34" s="68" t="n">
        <f aca="false">IF(TRIM(Raw_Data!I34)="",1,0)</f>
        <v>0</v>
      </c>
      <c r="L34" s="68" t="n">
        <f aca="false">IF(AND(TRIM(Raw_Data!N34)="",ISERROR(SEARCH("not started",Raw_Data!H34))),1,0)</f>
        <v>0</v>
      </c>
      <c r="M34" s="68" t="n">
        <f aca="false">IF(OR(ISTEXT(Raw_Data!J34),ISTEXT(Raw_Data!K34),ISTEXT(Raw_Data!L34)),1,0)</f>
        <v>1</v>
      </c>
      <c r="N34" s="68" t="n">
        <f aca="false">IF(Raw_Data!M34="",1,0)</f>
        <v>0</v>
      </c>
      <c r="O34" s="68" t="n">
        <f aca="false">IF(AND(ISNUMBER(Raw_Data!M34),Raw_Data!M34&lt;0),1,0)</f>
        <v>0</v>
      </c>
      <c r="P34" s="68" t="n">
        <f aca="false">IF(OR(Raw_Data!B34&lt;&gt;TRIM(Raw_Data!B34),Raw_Data!D34&lt;&gt;TRIM(Raw_Data!D34)),1,0)</f>
        <v>0</v>
      </c>
      <c r="Q34" s="68" t="n">
        <f aca="false">IF(AND(TRIM(Raw_Data!A34)&lt;&gt;"",COUNTIF(Raw_Data!$A$2:$A$92,Raw_Data!A34)&gt;1),1,0)</f>
        <v>0</v>
      </c>
      <c r="R34" s="68" t="n">
        <f aca="false">IF(AND(ISNUMBER(SEARCH("not started",Raw_Data!H34)),OR(N(Raw_Data!M34)&gt;0,Raw_Data!K34&lt;&gt;"")),1,0)</f>
        <v>0</v>
      </c>
      <c r="S34" s="68" t="n">
        <f aca="false">IF(AND(ISERROR(SEARCH("not started",Raw_Data!H34)),Raw_Data!K34=""),1,0)</f>
        <v>0</v>
      </c>
      <c r="T34" s="68" t="n">
        <f aca="false">IF(TRIM(Raw_Data!A34)="",1,0)</f>
        <v>0</v>
      </c>
      <c r="U34" s="68" t="n">
        <f aca="false">IF(OR(D34=1,E34=1),0,IF(IFERROR(INDEX(Lists!$F$2:$F$85,MATCH(TRIM(Raw_Data!B34),Lists!$E$2:$E$85,0)),Raw_Data!C34)=Raw_Data!C34,0,1))</f>
        <v>0</v>
      </c>
      <c r="V34" s="68" t="n">
        <f aca="false">IF(SUM(C34:U34)&gt;0,1,0)</f>
        <v>1</v>
      </c>
    </row>
    <row r="35" customFormat="false" ht="15" hidden="false" customHeight="false" outlineLevel="0" collapsed="false">
      <c r="A35" s="66" t="n">
        <f aca="false">ROW()-1</f>
        <v>34</v>
      </c>
      <c r="B35" s="66" t="str">
        <f aca="false">IF(TRIM(Raw_Data!A35)="","(blank)",Raw_Data!A35)</f>
        <v>EMB-034</v>
      </c>
      <c r="C35" s="68" t="n">
        <f aca="false">IF(SUMPRODUCT(--EXACT(Raw_Data!B35,Lists!$E$2:$E$85))=0,1,0)</f>
        <v>0</v>
      </c>
      <c r="D35" s="68" t="n">
        <f aca="false">IF(TRIM(Raw_Data!C35)="",1,0)</f>
        <v>0</v>
      </c>
      <c r="E35" s="68" t="n">
        <f aca="false">IF(AND(TRIM(Raw_Data!C35)&lt;&gt;"",SUMPRODUCT(--EXACT(Raw_Data!C35,Lists!$C$2:$C$7))=0),1,0)</f>
        <v>0</v>
      </c>
      <c r="F35" s="68" t="n">
        <f aca="false">IF(SUMPRODUCT(--EXACT(Raw_Data!H35,Lists!$A$2:$A$8))=0,1,0)</f>
        <v>0</v>
      </c>
      <c r="G35" s="68" t="n">
        <f aca="false">IF(TRIM(Raw_Data!F35)="",1,0)</f>
        <v>0</v>
      </c>
      <c r="H35" s="68" t="n">
        <f aca="false">IF(G35=1,0,IF(IFERROR(FIND(".",Raw_Data!F35,FIND("@",Raw_Data!F35)),0)&gt;0,0,1))</f>
        <v>0</v>
      </c>
      <c r="I35" s="68" t="n">
        <f aca="false">IF(TRIM(Raw_Data!G35)="",1,0)</f>
        <v>0</v>
      </c>
      <c r="J35" s="68" t="n">
        <f aca="false">IF(I35=1,0,IF(OR(AND(LEFT(Raw_Data!G35,4)="+91 ",LEN(Raw_Data!G35)=15),AND(LEFT(Raw_Data!G35,7)="+91 11 ",LEN(Raw_Data!G35)=16)),0,1))</f>
        <v>0</v>
      </c>
      <c r="K35" s="68" t="n">
        <f aca="false">IF(TRIM(Raw_Data!I35)="",1,0)</f>
        <v>1</v>
      </c>
      <c r="L35" s="68" t="n">
        <f aca="false">IF(AND(TRIM(Raw_Data!N35)="",ISERROR(SEARCH("not started",Raw_Data!H35))),1,0)</f>
        <v>0</v>
      </c>
      <c r="M35" s="68" t="n">
        <f aca="false">IF(OR(ISTEXT(Raw_Data!J35),ISTEXT(Raw_Data!K35),ISTEXT(Raw_Data!L35)),1,0)</f>
        <v>0</v>
      </c>
      <c r="N35" s="68" t="n">
        <f aca="false">IF(Raw_Data!M35="",1,0)</f>
        <v>0</v>
      </c>
      <c r="O35" s="68" t="n">
        <f aca="false">IF(AND(ISNUMBER(Raw_Data!M35),Raw_Data!M35&lt;0),1,0)</f>
        <v>0</v>
      </c>
      <c r="P35" s="68" t="n">
        <f aca="false">IF(OR(Raw_Data!B35&lt;&gt;TRIM(Raw_Data!B35),Raw_Data!D35&lt;&gt;TRIM(Raw_Data!D35)),1,0)</f>
        <v>0</v>
      </c>
      <c r="Q35" s="68" t="n">
        <f aca="false">IF(AND(TRIM(Raw_Data!A35)&lt;&gt;"",COUNTIF(Raw_Data!$A$2:$A$92,Raw_Data!A35)&gt;1),1,0)</f>
        <v>0</v>
      </c>
      <c r="R35" s="68" t="n">
        <f aca="false">IF(AND(ISNUMBER(SEARCH("not started",Raw_Data!H35)),OR(N(Raw_Data!M35)&gt;0,Raw_Data!K35&lt;&gt;"")),1,0)</f>
        <v>0</v>
      </c>
      <c r="S35" s="68" t="n">
        <f aca="false">IF(AND(ISERROR(SEARCH("not started",Raw_Data!H35)),Raw_Data!K35=""),1,0)</f>
        <v>0</v>
      </c>
      <c r="T35" s="68" t="n">
        <f aca="false">IF(TRIM(Raw_Data!A35)="",1,0)</f>
        <v>0</v>
      </c>
      <c r="U35" s="68" t="n">
        <f aca="false">IF(OR(D35=1,E35=1),0,IF(IFERROR(INDEX(Lists!$F$2:$F$85,MATCH(TRIM(Raw_Data!B35),Lists!$E$2:$E$85,0)),Raw_Data!C35)=Raw_Data!C35,0,1))</f>
        <v>0</v>
      </c>
      <c r="V35" s="68" t="n">
        <f aca="false">IF(SUM(C35:U35)&gt;0,1,0)</f>
        <v>1</v>
      </c>
    </row>
    <row r="36" customFormat="false" ht="15" hidden="false" customHeight="false" outlineLevel="0" collapsed="false">
      <c r="A36" s="66" t="n">
        <f aca="false">ROW()-1</f>
        <v>35</v>
      </c>
      <c r="B36" s="66" t="str">
        <f aca="false">IF(TRIM(Raw_Data!A36)="","(blank)",Raw_Data!A36)</f>
        <v>EMB-035</v>
      </c>
      <c r="C36" s="68" t="n">
        <f aca="false">IF(SUMPRODUCT(--EXACT(Raw_Data!B36,Lists!$E$2:$E$85))=0,1,0)</f>
        <v>1</v>
      </c>
      <c r="D36" s="68" t="n">
        <f aca="false">IF(TRIM(Raw_Data!C36)="",1,0)</f>
        <v>0</v>
      </c>
      <c r="E36" s="68" t="n">
        <f aca="false">IF(AND(TRIM(Raw_Data!C36)&lt;&gt;"",SUMPRODUCT(--EXACT(Raw_Data!C36,Lists!$C$2:$C$7))=0),1,0)</f>
        <v>0</v>
      </c>
      <c r="F36" s="68" t="n">
        <f aca="false">IF(SUMPRODUCT(--EXACT(Raw_Data!H36,Lists!$A$2:$A$8))=0,1,0)</f>
        <v>1</v>
      </c>
      <c r="G36" s="68" t="n">
        <f aca="false">IF(TRIM(Raw_Data!F36)="",1,0)</f>
        <v>0</v>
      </c>
      <c r="H36" s="68" t="n">
        <f aca="false">IF(G36=1,0,IF(IFERROR(FIND(".",Raw_Data!F36,FIND("@",Raw_Data!F36)),0)&gt;0,0,1))</f>
        <v>0</v>
      </c>
      <c r="I36" s="68" t="n">
        <f aca="false">IF(TRIM(Raw_Data!G36)="",1,0)</f>
        <v>0</v>
      </c>
      <c r="J36" s="68" t="n">
        <f aca="false">IF(I36=1,0,IF(OR(AND(LEFT(Raw_Data!G36,4)="+91 ",LEN(Raw_Data!G36)=15),AND(LEFT(Raw_Data!G36,7)="+91 11 ",LEN(Raw_Data!G36)=16)),0,1))</f>
        <v>0</v>
      </c>
      <c r="K36" s="68" t="n">
        <f aca="false">IF(TRIM(Raw_Data!I36)="",1,0)</f>
        <v>0</v>
      </c>
      <c r="L36" s="68" t="n">
        <f aca="false">IF(AND(TRIM(Raw_Data!N36)="",ISERROR(SEARCH("not started",Raw_Data!H36))),1,0)</f>
        <v>0</v>
      </c>
      <c r="M36" s="68" t="n">
        <f aca="false">IF(OR(ISTEXT(Raw_Data!J36),ISTEXT(Raw_Data!K36),ISTEXT(Raw_Data!L36)),1,0)</f>
        <v>0</v>
      </c>
      <c r="N36" s="68" t="n">
        <f aca="false">IF(Raw_Data!M36="",1,0)</f>
        <v>0</v>
      </c>
      <c r="O36" s="68" t="n">
        <f aca="false">IF(AND(ISNUMBER(Raw_Data!M36),Raw_Data!M36&lt;0),1,0)</f>
        <v>0</v>
      </c>
      <c r="P36" s="68" t="n">
        <f aca="false">IF(OR(Raw_Data!B36&lt;&gt;TRIM(Raw_Data!B36),Raw_Data!D36&lt;&gt;TRIM(Raw_Data!D36)),1,0)</f>
        <v>0</v>
      </c>
      <c r="Q36" s="68" t="n">
        <f aca="false">IF(AND(TRIM(Raw_Data!A36)&lt;&gt;"",COUNTIF(Raw_Data!$A$2:$A$92,Raw_Data!A36)&gt;1),1,0)</f>
        <v>0</v>
      </c>
      <c r="R36" s="68" t="n">
        <f aca="false">IF(AND(ISNUMBER(SEARCH("not started",Raw_Data!H36)),OR(N(Raw_Data!M36)&gt;0,Raw_Data!K36&lt;&gt;"")),1,0)</f>
        <v>0</v>
      </c>
      <c r="S36" s="68" t="n">
        <f aca="false">IF(AND(ISERROR(SEARCH("not started",Raw_Data!H36)),Raw_Data!K36=""),1,0)</f>
        <v>0</v>
      </c>
      <c r="T36" s="68" t="n">
        <f aca="false">IF(TRIM(Raw_Data!A36)="",1,0)</f>
        <v>0</v>
      </c>
      <c r="U36" s="68" t="n">
        <f aca="false">IF(OR(D36=1,E36=1),0,IF(IFERROR(INDEX(Lists!$F$2:$F$85,MATCH(TRIM(Raw_Data!B36),Lists!$E$2:$E$85,0)),Raw_Data!C36)=Raw_Data!C36,0,1))</f>
        <v>0</v>
      </c>
      <c r="V36" s="68" t="n">
        <f aca="false">IF(SUM(C36:U36)&gt;0,1,0)</f>
        <v>1</v>
      </c>
    </row>
    <row r="37" customFormat="false" ht="15" hidden="false" customHeight="false" outlineLevel="0" collapsed="false">
      <c r="A37" s="66" t="n">
        <f aca="false">ROW()-1</f>
        <v>36</v>
      </c>
      <c r="B37" s="66" t="str">
        <f aca="false">IF(TRIM(Raw_Data!A37)="","(blank)",Raw_Data!A37)</f>
        <v>EMB-036</v>
      </c>
      <c r="C37" s="68" t="n">
        <f aca="false">IF(SUMPRODUCT(--EXACT(Raw_Data!B37,Lists!$E$2:$E$85))=0,1,0)</f>
        <v>0</v>
      </c>
      <c r="D37" s="68" t="n">
        <f aca="false">IF(TRIM(Raw_Data!C37)="",1,0)</f>
        <v>0</v>
      </c>
      <c r="E37" s="68" t="n">
        <f aca="false">IF(AND(TRIM(Raw_Data!C37)&lt;&gt;"",SUMPRODUCT(--EXACT(Raw_Data!C37,Lists!$C$2:$C$7))=0),1,0)</f>
        <v>1</v>
      </c>
      <c r="F37" s="68" t="n">
        <f aca="false">IF(SUMPRODUCT(--EXACT(Raw_Data!H37,Lists!$A$2:$A$8))=0,1,0)</f>
        <v>0</v>
      </c>
      <c r="G37" s="68" t="n">
        <f aca="false">IF(TRIM(Raw_Data!F37)="",1,0)</f>
        <v>0</v>
      </c>
      <c r="H37" s="68" t="n">
        <f aca="false">IF(G37=1,0,IF(IFERROR(FIND(".",Raw_Data!F37,FIND("@",Raw_Data!F37)),0)&gt;0,0,1))</f>
        <v>0</v>
      </c>
      <c r="I37" s="68" t="n">
        <f aca="false">IF(TRIM(Raw_Data!G37)="",1,0)</f>
        <v>0</v>
      </c>
      <c r="J37" s="68" t="n">
        <f aca="false">IF(I37=1,0,IF(OR(AND(LEFT(Raw_Data!G37,4)="+91 ",LEN(Raw_Data!G37)=15),AND(LEFT(Raw_Data!G37,7)="+91 11 ",LEN(Raw_Data!G37)=16)),0,1))</f>
        <v>0</v>
      </c>
      <c r="K37" s="68" t="n">
        <f aca="false">IF(TRIM(Raw_Data!I37)="",1,0)</f>
        <v>0</v>
      </c>
      <c r="L37" s="68" t="n">
        <f aca="false">IF(AND(TRIM(Raw_Data!N37)="",ISERROR(SEARCH("not started",Raw_Data!H37))),1,0)</f>
        <v>0</v>
      </c>
      <c r="M37" s="68" t="n">
        <f aca="false">IF(OR(ISTEXT(Raw_Data!J37),ISTEXT(Raw_Data!K37),ISTEXT(Raw_Data!L37)),1,0)</f>
        <v>0</v>
      </c>
      <c r="N37" s="68" t="n">
        <f aca="false">IF(Raw_Data!M37="",1,0)</f>
        <v>0</v>
      </c>
      <c r="O37" s="68" t="n">
        <f aca="false">IF(AND(ISNUMBER(Raw_Data!M37),Raw_Data!M37&lt;0),1,0)</f>
        <v>0</v>
      </c>
      <c r="P37" s="68" t="n">
        <f aca="false">IF(OR(Raw_Data!B37&lt;&gt;TRIM(Raw_Data!B37),Raw_Data!D37&lt;&gt;TRIM(Raw_Data!D37)),1,0)</f>
        <v>0</v>
      </c>
      <c r="Q37" s="68" t="n">
        <f aca="false">IF(AND(TRIM(Raw_Data!A37)&lt;&gt;"",COUNTIF(Raw_Data!$A$2:$A$92,Raw_Data!A37)&gt;1),1,0)</f>
        <v>0</v>
      </c>
      <c r="R37" s="68" t="n">
        <f aca="false">IF(AND(ISNUMBER(SEARCH("not started",Raw_Data!H37)),OR(N(Raw_Data!M37)&gt;0,Raw_Data!K37&lt;&gt;"")),1,0)</f>
        <v>0</v>
      </c>
      <c r="S37" s="68" t="n">
        <f aca="false">IF(AND(ISERROR(SEARCH("not started",Raw_Data!H37)),Raw_Data!K37=""),1,0)</f>
        <v>0</v>
      </c>
      <c r="T37" s="68" t="n">
        <f aca="false">IF(TRIM(Raw_Data!A37)="",1,0)</f>
        <v>0</v>
      </c>
      <c r="U37" s="68" t="n">
        <f aca="false">IF(OR(D37=1,E37=1),0,IF(IFERROR(INDEX(Lists!$F$2:$F$85,MATCH(TRIM(Raw_Data!B37),Lists!$E$2:$E$85,0)),Raw_Data!C37)=Raw_Data!C37,0,1))</f>
        <v>0</v>
      </c>
      <c r="V37" s="68" t="n">
        <f aca="false">IF(SUM(C37:U37)&gt;0,1,0)</f>
        <v>1</v>
      </c>
    </row>
    <row r="38" customFormat="false" ht="15" hidden="false" customHeight="false" outlineLevel="0" collapsed="false">
      <c r="A38" s="66" t="n">
        <f aca="false">ROW()-1</f>
        <v>37</v>
      </c>
      <c r="B38" s="66" t="str">
        <f aca="false">IF(TRIM(Raw_Data!A38)="","(blank)",Raw_Data!A38)</f>
        <v>EMB-037</v>
      </c>
      <c r="C38" s="68" t="n">
        <f aca="false">IF(SUMPRODUCT(--EXACT(Raw_Data!B38,Lists!$E$2:$E$85))=0,1,0)</f>
        <v>0</v>
      </c>
      <c r="D38" s="68" t="n">
        <f aca="false">IF(TRIM(Raw_Data!C38)="",1,0)</f>
        <v>0</v>
      </c>
      <c r="E38" s="68" t="n">
        <f aca="false">IF(AND(TRIM(Raw_Data!C38)&lt;&gt;"",SUMPRODUCT(--EXACT(Raw_Data!C38,Lists!$C$2:$C$7))=0),1,0)</f>
        <v>0</v>
      </c>
      <c r="F38" s="68" t="n">
        <f aca="false">IF(SUMPRODUCT(--EXACT(Raw_Data!H38,Lists!$A$2:$A$8))=0,1,0)</f>
        <v>0</v>
      </c>
      <c r="G38" s="68" t="n">
        <f aca="false">IF(TRIM(Raw_Data!F38)="",1,0)</f>
        <v>0</v>
      </c>
      <c r="H38" s="68" t="n">
        <f aca="false">IF(G38=1,0,IF(IFERROR(FIND(".",Raw_Data!F38,FIND("@",Raw_Data!F38)),0)&gt;0,0,1))</f>
        <v>0</v>
      </c>
      <c r="I38" s="68" t="n">
        <f aca="false">IF(TRIM(Raw_Data!G38)="",1,0)</f>
        <v>0</v>
      </c>
      <c r="J38" s="68" t="n">
        <f aca="false">IF(I38=1,0,IF(OR(AND(LEFT(Raw_Data!G38,4)="+91 ",LEN(Raw_Data!G38)=15),AND(LEFT(Raw_Data!G38,7)="+91 11 ",LEN(Raw_Data!G38)=16)),0,1))</f>
        <v>0</v>
      </c>
      <c r="K38" s="68" t="n">
        <f aca="false">IF(TRIM(Raw_Data!I38)="",1,0)</f>
        <v>0</v>
      </c>
      <c r="L38" s="68" t="n">
        <f aca="false">IF(AND(TRIM(Raw_Data!N38)="",ISERROR(SEARCH("not started",Raw_Data!H38))),1,0)</f>
        <v>0</v>
      </c>
      <c r="M38" s="68" t="n">
        <f aca="false">IF(OR(ISTEXT(Raw_Data!J38),ISTEXT(Raw_Data!K38),ISTEXT(Raw_Data!L38)),1,0)</f>
        <v>0</v>
      </c>
      <c r="N38" s="68" t="n">
        <f aca="false">IF(Raw_Data!M38="",1,0)</f>
        <v>0</v>
      </c>
      <c r="O38" s="68" t="n">
        <f aca="false">IF(AND(ISNUMBER(Raw_Data!M38),Raw_Data!M38&lt;0),1,0)</f>
        <v>0</v>
      </c>
      <c r="P38" s="68" t="n">
        <f aca="false">IF(OR(Raw_Data!B38&lt;&gt;TRIM(Raw_Data!B38),Raw_Data!D38&lt;&gt;TRIM(Raw_Data!D38)),1,0)</f>
        <v>0</v>
      </c>
      <c r="Q38" s="68" t="n">
        <f aca="false">IF(AND(TRIM(Raw_Data!A38)&lt;&gt;"",COUNTIF(Raw_Data!$A$2:$A$92,Raw_Data!A38)&gt;1),1,0)</f>
        <v>1</v>
      </c>
      <c r="R38" s="68" t="n">
        <f aca="false">IF(AND(ISNUMBER(SEARCH("not started",Raw_Data!H38)),OR(N(Raw_Data!M38)&gt;0,Raw_Data!K38&lt;&gt;"")),1,0)</f>
        <v>0</v>
      </c>
      <c r="S38" s="68" t="n">
        <f aca="false">IF(AND(ISERROR(SEARCH("not started",Raw_Data!H38)),Raw_Data!K38=""),1,0)</f>
        <v>0</v>
      </c>
      <c r="T38" s="68" t="n">
        <f aca="false">IF(TRIM(Raw_Data!A38)="",1,0)</f>
        <v>0</v>
      </c>
      <c r="U38" s="68" t="n">
        <f aca="false">IF(OR(D38=1,E38=1),0,IF(IFERROR(INDEX(Lists!$F$2:$F$85,MATCH(TRIM(Raw_Data!B38),Lists!$E$2:$E$85,0)),Raw_Data!C38)=Raw_Data!C38,0,1))</f>
        <v>0</v>
      </c>
      <c r="V38" s="68" t="n">
        <f aca="false">IF(SUM(C38:U38)&gt;0,1,0)</f>
        <v>1</v>
      </c>
    </row>
    <row r="39" customFormat="false" ht="15" hidden="false" customHeight="false" outlineLevel="0" collapsed="false">
      <c r="A39" s="66" t="n">
        <f aca="false">ROW()-1</f>
        <v>38</v>
      </c>
      <c r="B39" s="66" t="str">
        <f aca="false">IF(TRIM(Raw_Data!A39)="","(blank)",Raw_Data!A39)</f>
        <v>EMB-038</v>
      </c>
      <c r="C39" s="68" t="n">
        <f aca="false">IF(SUMPRODUCT(--EXACT(Raw_Data!B39,Lists!$E$2:$E$85))=0,1,0)</f>
        <v>0</v>
      </c>
      <c r="D39" s="68" t="n">
        <f aca="false">IF(TRIM(Raw_Data!C39)="",1,0)</f>
        <v>0</v>
      </c>
      <c r="E39" s="68" t="n">
        <f aca="false">IF(AND(TRIM(Raw_Data!C39)&lt;&gt;"",SUMPRODUCT(--EXACT(Raw_Data!C39,Lists!$C$2:$C$7))=0),1,0)</f>
        <v>0</v>
      </c>
      <c r="F39" s="68" t="n">
        <f aca="false">IF(SUMPRODUCT(--EXACT(Raw_Data!H39,Lists!$A$2:$A$8))=0,1,0)</f>
        <v>0</v>
      </c>
      <c r="G39" s="68" t="n">
        <f aca="false">IF(TRIM(Raw_Data!F39)="",1,0)</f>
        <v>0</v>
      </c>
      <c r="H39" s="68" t="n">
        <f aca="false">IF(G39=1,0,IF(IFERROR(FIND(".",Raw_Data!F39,FIND("@",Raw_Data!F39)),0)&gt;0,0,1))</f>
        <v>0</v>
      </c>
      <c r="I39" s="68" t="n">
        <f aca="false">IF(TRIM(Raw_Data!G39)="",1,0)</f>
        <v>0</v>
      </c>
      <c r="J39" s="68" t="n">
        <f aca="false">IF(I39=1,0,IF(OR(AND(LEFT(Raw_Data!G39,4)="+91 ",LEN(Raw_Data!G39)=15),AND(LEFT(Raw_Data!G39,7)="+91 11 ",LEN(Raw_Data!G39)=16)),0,1))</f>
        <v>0</v>
      </c>
      <c r="K39" s="68" t="n">
        <f aca="false">IF(TRIM(Raw_Data!I39)="",1,0)</f>
        <v>0</v>
      </c>
      <c r="L39" s="68" t="n">
        <f aca="false">IF(AND(TRIM(Raw_Data!N39)="",ISERROR(SEARCH("not started",Raw_Data!H39))),1,0)</f>
        <v>0</v>
      </c>
      <c r="M39" s="68" t="n">
        <f aca="false">IF(OR(ISTEXT(Raw_Data!J39),ISTEXT(Raw_Data!K39),ISTEXT(Raw_Data!L39)),1,0)</f>
        <v>0</v>
      </c>
      <c r="N39" s="68" t="n">
        <f aca="false">IF(Raw_Data!M39="",1,0)</f>
        <v>0</v>
      </c>
      <c r="O39" s="68" t="n">
        <f aca="false">IF(AND(ISNUMBER(Raw_Data!M39),Raw_Data!M39&lt;0),1,0)</f>
        <v>0</v>
      </c>
      <c r="P39" s="68" t="n">
        <f aca="false">IF(OR(Raw_Data!B39&lt;&gt;TRIM(Raw_Data!B39),Raw_Data!D39&lt;&gt;TRIM(Raw_Data!D39)),1,0)</f>
        <v>0</v>
      </c>
      <c r="Q39" s="68" t="n">
        <f aca="false">IF(AND(TRIM(Raw_Data!A39)&lt;&gt;"",COUNTIF(Raw_Data!$A$2:$A$92,Raw_Data!A39)&gt;1),1,0)</f>
        <v>0</v>
      </c>
      <c r="R39" s="68" t="n">
        <f aca="false">IF(AND(ISNUMBER(SEARCH("not started",Raw_Data!H39)),OR(N(Raw_Data!M39)&gt;0,Raw_Data!K39&lt;&gt;"")),1,0)</f>
        <v>0</v>
      </c>
      <c r="S39" s="68" t="n">
        <f aca="false">IF(AND(ISERROR(SEARCH("not started",Raw_Data!H39)),Raw_Data!K39=""),1,0)</f>
        <v>0</v>
      </c>
      <c r="T39" s="68" t="n">
        <f aca="false">IF(TRIM(Raw_Data!A39)="",1,0)</f>
        <v>0</v>
      </c>
      <c r="U39" s="68" t="n">
        <f aca="false">IF(OR(D39=1,E39=1),0,IF(IFERROR(INDEX(Lists!$F$2:$F$85,MATCH(TRIM(Raw_Data!B39),Lists!$E$2:$E$85,0)),Raw_Data!C39)=Raw_Data!C39,0,1))</f>
        <v>0</v>
      </c>
      <c r="V39" s="68" t="n">
        <f aca="false">IF(SUM(C39:U39)&gt;0,1,0)</f>
        <v>0</v>
      </c>
    </row>
    <row r="40" customFormat="false" ht="15" hidden="false" customHeight="false" outlineLevel="0" collapsed="false">
      <c r="A40" s="66" t="n">
        <f aca="false">ROW()-1</f>
        <v>39</v>
      </c>
      <c r="B40" s="66" t="str">
        <f aca="false">IF(TRIM(Raw_Data!A40)="","(blank)",Raw_Data!A40)</f>
        <v>EMB-039</v>
      </c>
      <c r="C40" s="68" t="n">
        <f aca="false">IF(SUMPRODUCT(--EXACT(Raw_Data!B40,Lists!$E$2:$E$85))=0,1,0)</f>
        <v>0</v>
      </c>
      <c r="D40" s="68" t="n">
        <f aca="false">IF(TRIM(Raw_Data!C40)="",1,0)</f>
        <v>0</v>
      </c>
      <c r="E40" s="68" t="n">
        <f aca="false">IF(AND(TRIM(Raw_Data!C40)&lt;&gt;"",SUMPRODUCT(--EXACT(Raw_Data!C40,Lists!$C$2:$C$7))=0),1,0)</f>
        <v>0</v>
      </c>
      <c r="F40" s="68" t="n">
        <f aca="false">IF(SUMPRODUCT(--EXACT(Raw_Data!H40,Lists!$A$2:$A$8))=0,1,0)</f>
        <v>0</v>
      </c>
      <c r="G40" s="68" t="n">
        <f aca="false">IF(TRIM(Raw_Data!F40)="",1,0)</f>
        <v>0</v>
      </c>
      <c r="H40" s="68" t="n">
        <f aca="false">IF(G40=1,0,IF(IFERROR(FIND(".",Raw_Data!F40,FIND("@",Raw_Data!F40)),0)&gt;0,0,1))</f>
        <v>0</v>
      </c>
      <c r="I40" s="68" t="n">
        <f aca="false">IF(TRIM(Raw_Data!G40)="",1,0)</f>
        <v>0</v>
      </c>
      <c r="J40" s="68" t="n">
        <f aca="false">IF(I40=1,0,IF(OR(AND(LEFT(Raw_Data!G40,4)="+91 ",LEN(Raw_Data!G40)=15),AND(LEFT(Raw_Data!G40,7)="+91 11 ",LEN(Raw_Data!G40)=16)),0,1))</f>
        <v>0</v>
      </c>
      <c r="K40" s="68" t="n">
        <f aca="false">IF(TRIM(Raw_Data!I40)="",1,0)</f>
        <v>1</v>
      </c>
      <c r="L40" s="68" t="n">
        <f aca="false">IF(AND(TRIM(Raw_Data!N40)="",ISERROR(SEARCH("not started",Raw_Data!H40))),1,0)</f>
        <v>1</v>
      </c>
      <c r="M40" s="68" t="n">
        <f aca="false">IF(OR(ISTEXT(Raw_Data!J40),ISTEXT(Raw_Data!K40),ISTEXT(Raw_Data!L40)),1,0)</f>
        <v>0</v>
      </c>
      <c r="N40" s="68" t="n">
        <f aca="false">IF(Raw_Data!M40="",1,0)</f>
        <v>0</v>
      </c>
      <c r="O40" s="68" t="n">
        <f aca="false">IF(AND(ISNUMBER(Raw_Data!M40),Raw_Data!M40&lt;0),1,0)</f>
        <v>0</v>
      </c>
      <c r="P40" s="68" t="n">
        <f aca="false">IF(OR(Raw_Data!B40&lt;&gt;TRIM(Raw_Data!B40),Raw_Data!D40&lt;&gt;TRIM(Raw_Data!D40)),1,0)</f>
        <v>0</v>
      </c>
      <c r="Q40" s="68" t="n">
        <f aca="false">IF(AND(TRIM(Raw_Data!A40)&lt;&gt;"",COUNTIF(Raw_Data!$A$2:$A$92,Raw_Data!A40)&gt;1),1,0)</f>
        <v>0</v>
      </c>
      <c r="R40" s="68" t="n">
        <f aca="false">IF(AND(ISNUMBER(SEARCH("not started",Raw_Data!H40)),OR(N(Raw_Data!M40)&gt;0,Raw_Data!K40&lt;&gt;"")),1,0)</f>
        <v>0</v>
      </c>
      <c r="S40" s="68" t="n">
        <f aca="false">IF(AND(ISERROR(SEARCH("not started",Raw_Data!H40)),Raw_Data!K40=""),1,0)</f>
        <v>0</v>
      </c>
      <c r="T40" s="68" t="n">
        <f aca="false">IF(TRIM(Raw_Data!A40)="",1,0)</f>
        <v>0</v>
      </c>
      <c r="U40" s="68" t="n">
        <f aca="false">IF(OR(D40=1,E40=1),0,IF(IFERROR(INDEX(Lists!$F$2:$F$85,MATCH(TRIM(Raw_Data!B40),Lists!$E$2:$E$85,0)),Raw_Data!C40)=Raw_Data!C40,0,1))</f>
        <v>0</v>
      </c>
      <c r="V40" s="68" t="n">
        <f aca="false">IF(SUM(C40:U40)&gt;0,1,0)</f>
        <v>1</v>
      </c>
    </row>
    <row r="41" customFormat="false" ht="15" hidden="false" customHeight="false" outlineLevel="0" collapsed="false">
      <c r="A41" s="66" t="n">
        <f aca="false">ROW()-1</f>
        <v>40</v>
      </c>
      <c r="B41" s="66" t="str">
        <f aca="false">IF(TRIM(Raw_Data!A41)="","(blank)",Raw_Data!A41)</f>
        <v>EMB-040</v>
      </c>
      <c r="C41" s="68" t="n">
        <f aca="false">IF(SUMPRODUCT(--EXACT(Raw_Data!B41,Lists!$E$2:$E$85))=0,1,0)</f>
        <v>0</v>
      </c>
      <c r="D41" s="68" t="n">
        <f aca="false">IF(TRIM(Raw_Data!C41)="",1,0)</f>
        <v>0</v>
      </c>
      <c r="E41" s="68" t="n">
        <f aca="false">IF(AND(TRIM(Raw_Data!C41)&lt;&gt;"",SUMPRODUCT(--EXACT(Raw_Data!C41,Lists!$C$2:$C$7))=0),1,0)</f>
        <v>0</v>
      </c>
      <c r="F41" s="68" t="n">
        <f aca="false">IF(SUMPRODUCT(--EXACT(Raw_Data!H41,Lists!$A$2:$A$8))=0,1,0)</f>
        <v>1</v>
      </c>
      <c r="G41" s="68" t="n">
        <f aca="false">IF(TRIM(Raw_Data!F41)="",1,0)</f>
        <v>0</v>
      </c>
      <c r="H41" s="68" t="n">
        <f aca="false">IF(G41=1,0,IF(IFERROR(FIND(".",Raw_Data!F41,FIND("@",Raw_Data!F41)),0)&gt;0,0,1))</f>
        <v>0</v>
      </c>
      <c r="I41" s="68" t="n">
        <f aca="false">IF(TRIM(Raw_Data!G41)="",1,0)</f>
        <v>0</v>
      </c>
      <c r="J41" s="68" t="n">
        <f aca="false">IF(I41=1,0,IF(OR(AND(LEFT(Raw_Data!G41,4)="+91 ",LEN(Raw_Data!G41)=15),AND(LEFT(Raw_Data!G41,7)="+91 11 ",LEN(Raw_Data!G41)=16)),0,1))</f>
        <v>0</v>
      </c>
      <c r="K41" s="68" t="n">
        <f aca="false">IF(TRIM(Raw_Data!I41)="",1,0)</f>
        <v>0</v>
      </c>
      <c r="L41" s="68" t="n">
        <f aca="false">IF(AND(TRIM(Raw_Data!N41)="",ISERROR(SEARCH("not started",Raw_Data!H41))),1,0)</f>
        <v>0</v>
      </c>
      <c r="M41" s="68" t="n">
        <f aca="false">IF(OR(ISTEXT(Raw_Data!J41),ISTEXT(Raw_Data!K41),ISTEXT(Raw_Data!L41)),1,0)</f>
        <v>0</v>
      </c>
      <c r="N41" s="68" t="n">
        <f aca="false">IF(Raw_Data!M41="",1,0)</f>
        <v>0</v>
      </c>
      <c r="O41" s="68" t="n">
        <f aca="false">IF(AND(ISNUMBER(Raw_Data!M41),Raw_Data!M41&lt;0),1,0)</f>
        <v>0</v>
      </c>
      <c r="P41" s="68" t="n">
        <f aca="false">IF(OR(Raw_Data!B41&lt;&gt;TRIM(Raw_Data!B41),Raw_Data!D41&lt;&gt;TRIM(Raw_Data!D41)),1,0)</f>
        <v>0</v>
      </c>
      <c r="Q41" s="68" t="n">
        <f aca="false">IF(AND(TRIM(Raw_Data!A41)&lt;&gt;"",COUNTIF(Raw_Data!$A$2:$A$92,Raw_Data!A41)&gt;1),1,0)</f>
        <v>0</v>
      </c>
      <c r="R41" s="68" t="n">
        <f aca="false">IF(AND(ISNUMBER(SEARCH("not started",Raw_Data!H41)),OR(N(Raw_Data!M41)&gt;0,Raw_Data!K41&lt;&gt;"")),1,0)</f>
        <v>0</v>
      </c>
      <c r="S41" s="68" t="n">
        <f aca="false">IF(AND(ISERROR(SEARCH("not started",Raw_Data!H41)),Raw_Data!K41=""),1,0)</f>
        <v>0</v>
      </c>
      <c r="T41" s="68" t="n">
        <f aca="false">IF(TRIM(Raw_Data!A41)="",1,0)</f>
        <v>0</v>
      </c>
      <c r="U41" s="68" t="n">
        <f aca="false">IF(OR(D41=1,E41=1),0,IF(IFERROR(INDEX(Lists!$F$2:$F$85,MATCH(TRIM(Raw_Data!B41),Lists!$E$2:$E$85,0)),Raw_Data!C41)=Raw_Data!C41,0,1))</f>
        <v>0</v>
      </c>
      <c r="V41" s="68" t="n">
        <f aca="false">IF(SUM(C41:U41)&gt;0,1,0)</f>
        <v>1</v>
      </c>
    </row>
    <row r="42" customFormat="false" ht="15" hidden="false" customHeight="false" outlineLevel="0" collapsed="false">
      <c r="A42" s="66" t="n">
        <f aca="false">ROW()-1</f>
        <v>41</v>
      </c>
      <c r="B42" s="66" t="str">
        <f aca="false">IF(TRIM(Raw_Data!A42)="","(blank)",Raw_Data!A42)</f>
        <v>EMB-041</v>
      </c>
      <c r="C42" s="68" t="n">
        <f aca="false">IF(SUMPRODUCT(--EXACT(Raw_Data!B42,Lists!$E$2:$E$85))=0,1,0)</f>
        <v>0</v>
      </c>
      <c r="D42" s="68" t="n">
        <f aca="false">IF(TRIM(Raw_Data!C42)="",1,0)</f>
        <v>0</v>
      </c>
      <c r="E42" s="68" t="n">
        <f aca="false">IF(AND(TRIM(Raw_Data!C42)&lt;&gt;"",SUMPRODUCT(--EXACT(Raw_Data!C42,Lists!$C$2:$C$7))=0),1,0)</f>
        <v>0</v>
      </c>
      <c r="F42" s="68" t="n">
        <f aca="false">IF(SUMPRODUCT(--EXACT(Raw_Data!H42,Lists!$A$2:$A$8))=0,1,0)</f>
        <v>1</v>
      </c>
      <c r="G42" s="68" t="n">
        <f aca="false">IF(TRIM(Raw_Data!F42)="",1,0)</f>
        <v>0</v>
      </c>
      <c r="H42" s="68" t="n">
        <f aca="false">IF(G42=1,0,IF(IFERROR(FIND(".",Raw_Data!F42,FIND("@",Raw_Data!F42)),0)&gt;0,0,1))</f>
        <v>0</v>
      </c>
      <c r="I42" s="68" t="n">
        <f aca="false">IF(TRIM(Raw_Data!G42)="",1,0)</f>
        <v>0</v>
      </c>
      <c r="J42" s="68" t="n">
        <f aca="false">IF(I42=1,0,IF(OR(AND(LEFT(Raw_Data!G42,4)="+91 ",LEN(Raw_Data!G42)=15),AND(LEFT(Raw_Data!G42,7)="+91 11 ",LEN(Raw_Data!G42)=16)),0,1))</f>
        <v>1</v>
      </c>
      <c r="K42" s="68" t="n">
        <f aca="false">IF(TRIM(Raw_Data!I42)="",1,0)</f>
        <v>0</v>
      </c>
      <c r="L42" s="68" t="n">
        <f aca="false">IF(AND(TRIM(Raw_Data!N42)="",ISERROR(SEARCH("not started",Raw_Data!H42))),1,0)</f>
        <v>1</v>
      </c>
      <c r="M42" s="68" t="n">
        <f aca="false">IF(OR(ISTEXT(Raw_Data!J42),ISTEXT(Raw_Data!K42),ISTEXT(Raw_Data!L42)),1,0)</f>
        <v>0</v>
      </c>
      <c r="N42" s="68" t="n">
        <f aca="false">IF(Raw_Data!M42="",1,0)</f>
        <v>0</v>
      </c>
      <c r="O42" s="68" t="n">
        <f aca="false">IF(AND(ISNUMBER(Raw_Data!M42),Raw_Data!M42&lt;0),1,0)</f>
        <v>0</v>
      </c>
      <c r="P42" s="68" t="n">
        <f aca="false">IF(OR(Raw_Data!B42&lt;&gt;TRIM(Raw_Data!B42),Raw_Data!D42&lt;&gt;TRIM(Raw_Data!D42)),1,0)</f>
        <v>0</v>
      </c>
      <c r="Q42" s="68" t="n">
        <f aca="false">IF(AND(TRIM(Raw_Data!A42)&lt;&gt;"",COUNTIF(Raw_Data!$A$2:$A$92,Raw_Data!A42)&gt;1),1,0)</f>
        <v>0</v>
      </c>
      <c r="R42" s="68" t="n">
        <f aca="false">IF(AND(ISNUMBER(SEARCH("not started",Raw_Data!H42)),OR(N(Raw_Data!M42)&gt;0,Raw_Data!K42&lt;&gt;"")),1,0)</f>
        <v>0</v>
      </c>
      <c r="S42" s="68" t="n">
        <f aca="false">IF(AND(ISERROR(SEARCH("not started",Raw_Data!H42)),Raw_Data!K42=""),1,0)</f>
        <v>0</v>
      </c>
      <c r="T42" s="68" t="n">
        <f aca="false">IF(TRIM(Raw_Data!A42)="",1,0)</f>
        <v>0</v>
      </c>
      <c r="U42" s="68" t="n">
        <f aca="false">IF(OR(D42=1,E42=1),0,IF(IFERROR(INDEX(Lists!$F$2:$F$85,MATCH(TRIM(Raw_Data!B42),Lists!$E$2:$E$85,0)),Raw_Data!C42)=Raw_Data!C42,0,1))</f>
        <v>0</v>
      </c>
      <c r="V42" s="68" t="n">
        <f aca="false">IF(SUM(C42:U42)&gt;0,1,0)</f>
        <v>1</v>
      </c>
    </row>
    <row r="43" customFormat="false" ht="15" hidden="false" customHeight="false" outlineLevel="0" collapsed="false">
      <c r="A43" s="66" t="n">
        <f aca="false">ROW()-1</f>
        <v>42</v>
      </c>
      <c r="B43" s="66" t="str">
        <f aca="false">IF(TRIM(Raw_Data!A43)="","(blank)",Raw_Data!A43)</f>
        <v>EMB-042</v>
      </c>
      <c r="C43" s="68" t="n">
        <f aca="false">IF(SUMPRODUCT(--EXACT(Raw_Data!B43,Lists!$E$2:$E$85))=0,1,0)</f>
        <v>0</v>
      </c>
      <c r="D43" s="68" t="n">
        <f aca="false">IF(TRIM(Raw_Data!C43)="",1,0)</f>
        <v>0</v>
      </c>
      <c r="E43" s="68" t="n">
        <f aca="false">IF(AND(TRIM(Raw_Data!C43)&lt;&gt;"",SUMPRODUCT(--EXACT(Raw_Data!C43,Lists!$C$2:$C$7))=0),1,0)</f>
        <v>0</v>
      </c>
      <c r="F43" s="68" t="n">
        <f aca="false">IF(SUMPRODUCT(--EXACT(Raw_Data!H43,Lists!$A$2:$A$8))=0,1,0)</f>
        <v>0</v>
      </c>
      <c r="G43" s="68" t="n">
        <f aca="false">IF(TRIM(Raw_Data!F43)="",1,0)</f>
        <v>0</v>
      </c>
      <c r="H43" s="68" t="n">
        <f aca="false">IF(G43=1,0,IF(IFERROR(FIND(".",Raw_Data!F43,FIND("@",Raw_Data!F43)),0)&gt;0,0,1))</f>
        <v>0</v>
      </c>
      <c r="I43" s="68" t="n">
        <f aca="false">IF(TRIM(Raw_Data!G43)="",1,0)</f>
        <v>0</v>
      </c>
      <c r="J43" s="68" t="n">
        <f aca="false">IF(I43=1,0,IF(OR(AND(LEFT(Raw_Data!G43,4)="+91 ",LEN(Raw_Data!G43)=15),AND(LEFT(Raw_Data!G43,7)="+91 11 ",LEN(Raw_Data!G43)=16)),0,1))</f>
        <v>0</v>
      </c>
      <c r="K43" s="68" t="n">
        <f aca="false">IF(TRIM(Raw_Data!I43)="",1,0)</f>
        <v>0</v>
      </c>
      <c r="L43" s="68" t="n">
        <f aca="false">IF(AND(TRIM(Raw_Data!N43)="",ISERROR(SEARCH("not started",Raw_Data!H43))),1,0)</f>
        <v>0</v>
      </c>
      <c r="M43" s="68" t="n">
        <f aca="false">IF(OR(ISTEXT(Raw_Data!J43),ISTEXT(Raw_Data!K43),ISTEXT(Raw_Data!L43)),1,0)</f>
        <v>1</v>
      </c>
      <c r="N43" s="68" t="n">
        <f aca="false">IF(Raw_Data!M43="",1,0)</f>
        <v>0</v>
      </c>
      <c r="O43" s="68" t="n">
        <f aca="false">IF(AND(ISNUMBER(Raw_Data!M43),Raw_Data!M43&lt;0),1,0)</f>
        <v>0</v>
      </c>
      <c r="P43" s="68" t="n">
        <f aca="false">IF(OR(Raw_Data!B43&lt;&gt;TRIM(Raw_Data!B43),Raw_Data!D43&lt;&gt;TRIM(Raw_Data!D43)),1,0)</f>
        <v>0</v>
      </c>
      <c r="Q43" s="68" t="n">
        <f aca="false">IF(AND(TRIM(Raw_Data!A43)&lt;&gt;"",COUNTIF(Raw_Data!$A$2:$A$92,Raw_Data!A43)&gt;1),1,0)</f>
        <v>0</v>
      </c>
      <c r="R43" s="68" t="n">
        <f aca="false">IF(AND(ISNUMBER(SEARCH("not started",Raw_Data!H43)),OR(N(Raw_Data!M43)&gt;0,Raw_Data!K43&lt;&gt;"")),1,0)</f>
        <v>0</v>
      </c>
      <c r="S43" s="68" t="n">
        <f aca="false">IF(AND(ISERROR(SEARCH("not started",Raw_Data!H43)),Raw_Data!K43=""),1,0)</f>
        <v>0</v>
      </c>
      <c r="T43" s="68" t="n">
        <f aca="false">IF(TRIM(Raw_Data!A43)="",1,0)</f>
        <v>0</v>
      </c>
      <c r="U43" s="68" t="n">
        <f aca="false">IF(OR(D43=1,E43=1),0,IF(IFERROR(INDEX(Lists!$F$2:$F$85,MATCH(TRIM(Raw_Data!B43),Lists!$E$2:$E$85,0)),Raw_Data!C43)=Raw_Data!C43,0,1))</f>
        <v>0</v>
      </c>
      <c r="V43" s="68" t="n">
        <f aca="false">IF(SUM(C43:U43)&gt;0,1,0)</f>
        <v>1</v>
      </c>
    </row>
    <row r="44" customFormat="false" ht="15" hidden="false" customHeight="false" outlineLevel="0" collapsed="false">
      <c r="A44" s="66" t="n">
        <f aca="false">ROW()-1</f>
        <v>43</v>
      </c>
      <c r="B44" s="66" t="str">
        <f aca="false">IF(TRIM(Raw_Data!A44)="","(blank)",Raw_Data!A44)</f>
        <v>EMB-043</v>
      </c>
      <c r="C44" s="68" t="n">
        <f aca="false">IF(SUMPRODUCT(--EXACT(Raw_Data!B44,Lists!$E$2:$E$85))=0,1,0)</f>
        <v>0</v>
      </c>
      <c r="D44" s="68" t="n">
        <f aca="false">IF(TRIM(Raw_Data!C44)="",1,0)</f>
        <v>1</v>
      </c>
      <c r="E44" s="68" t="n">
        <f aca="false">IF(AND(TRIM(Raw_Data!C44)&lt;&gt;"",SUMPRODUCT(--EXACT(Raw_Data!C44,Lists!$C$2:$C$7))=0),1,0)</f>
        <v>0</v>
      </c>
      <c r="F44" s="68" t="n">
        <f aca="false">IF(SUMPRODUCT(--EXACT(Raw_Data!H44,Lists!$A$2:$A$8))=0,1,0)</f>
        <v>0</v>
      </c>
      <c r="G44" s="68" t="n">
        <f aca="false">IF(TRIM(Raw_Data!F44)="",1,0)</f>
        <v>0</v>
      </c>
      <c r="H44" s="68" t="n">
        <f aca="false">IF(G44=1,0,IF(IFERROR(FIND(".",Raw_Data!F44,FIND("@",Raw_Data!F44)),0)&gt;0,0,1))</f>
        <v>0</v>
      </c>
      <c r="I44" s="68" t="n">
        <f aca="false">IF(TRIM(Raw_Data!G44)="",1,0)</f>
        <v>0</v>
      </c>
      <c r="J44" s="68" t="n">
        <f aca="false">IF(I44=1,0,IF(OR(AND(LEFT(Raw_Data!G44,4)="+91 ",LEN(Raw_Data!G44)=15),AND(LEFT(Raw_Data!G44,7)="+91 11 ",LEN(Raw_Data!G44)=16)),0,1))</f>
        <v>0</v>
      </c>
      <c r="K44" s="68" t="n">
        <f aca="false">IF(TRIM(Raw_Data!I44)="",1,0)</f>
        <v>0</v>
      </c>
      <c r="L44" s="68" t="n">
        <f aca="false">IF(AND(TRIM(Raw_Data!N44)="",ISERROR(SEARCH("not started",Raw_Data!H44))),1,0)</f>
        <v>0</v>
      </c>
      <c r="M44" s="68" t="n">
        <f aca="false">IF(OR(ISTEXT(Raw_Data!J44),ISTEXT(Raw_Data!K44),ISTEXT(Raw_Data!L44)),1,0)</f>
        <v>0</v>
      </c>
      <c r="N44" s="68" t="n">
        <f aca="false">IF(Raw_Data!M44="",1,0)</f>
        <v>0</v>
      </c>
      <c r="O44" s="68" t="n">
        <f aca="false">IF(AND(ISNUMBER(Raw_Data!M44),Raw_Data!M44&lt;0),1,0)</f>
        <v>0</v>
      </c>
      <c r="P44" s="68" t="n">
        <f aca="false">IF(OR(Raw_Data!B44&lt;&gt;TRIM(Raw_Data!B44),Raw_Data!D44&lt;&gt;TRIM(Raw_Data!D44)),1,0)</f>
        <v>0</v>
      </c>
      <c r="Q44" s="68" t="n">
        <f aca="false">IF(AND(TRIM(Raw_Data!A44)&lt;&gt;"",COUNTIF(Raw_Data!$A$2:$A$92,Raw_Data!A44)&gt;1),1,0)</f>
        <v>0</v>
      </c>
      <c r="R44" s="68" t="n">
        <f aca="false">IF(AND(ISNUMBER(SEARCH("not started",Raw_Data!H44)),OR(N(Raw_Data!M44)&gt;0,Raw_Data!K44&lt;&gt;"")),1,0)</f>
        <v>0</v>
      </c>
      <c r="S44" s="68" t="n">
        <f aca="false">IF(AND(ISERROR(SEARCH("not started",Raw_Data!H44)),Raw_Data!K44=""),1,0)</f>
        <v>0</v>
      </c>
      <c r="T44" s="68" t="n">
        <f aca="false">IF(TRIM(Raw_Data!A44)="",1,0)</f>
        <v>0</v>
      </c>
      <c r="U44" s="68" t="n">
        <f aca="false">IF(OR(D44=1,E44=1),0,IF(IFERROR(INDEX(Lists!$F$2:$F$85,MATCH(TRIM(Raw_Data!B44),Lists!$E$2:$E$85,0)),Raw_Data!C44)=Raw_Data!C44,0,1))</f>
        <v>0</v>
      </c>
      <c r="V44" s="68" t="n">
        <f aca="false">IF(SUM(C44:U44)&gt;0,1,0)</f>
        <v>1</v>
      </c>
    </row>
    <row r="45" customFormat="false" ht="15" hidden="false" customHeight="false" outlineLevel="0" collapsed="false">
      <c r="A45" s="66" t="n">
        <f aca="false">ROW()-1</f>
        <v>44</v>
      </c>
      <c r="B45" s="66" t="str">
        <f aca="false">IF(TRIM(Raw_Data!A45)="","(blank)",Raw_Data!A45)</f>
        <v>EMB-044</v>
      </c>
      <c r="C45" s="68" t="n">
        <f aca="false">IF(SUMPRODUCT(--EXACT(Raw_Data!B45,Lists!$E$2:$E$85))=0,1,0)</f>
        <v>0</v>
      </c>
      <c r="D45" s="68" t="n">
        <f aca="false">IF(TRIM(Raw_Data!C45)="",1,0)</f>
        <v>0</v>
      </c>
      <c r="E45" s="68" t="n">
        <f aca="false">IF(AND(TRIM(Raw_Data!C45)&lt;&gt;"",SUMPRODUCT(--EXACT(Raw_Data!C45,Lists!$C$2:$C$7))=0),1,0)</f>
        <v>0</v>
      </c>
      <c r="F45" s="68" t="n">
        <f aca="false">IF(SUMPRODUCT(--EXACT(Raw_Data!H45,Lists!$A$2:$A$8))=0,1,0)</f>
        <v>0</v>
      </c>
      <c r="G45" s="68" t="n">
        <f aca="false">IF(TRIM(Raw_Data!F45)="",1,0)</f>
        <v>0</v>
      </c>
      <c r="H45" s="68" t="n">
        <f aca="false">IF(G45=1,0,IF(IFERROR(FIND(".",Raw_Data!F45,FIND("@",Raw_Data!F45)),0)&gt;0,0,1))</f>
        <v>0</v>
      </c>
      <c r="I45" s="68" t="n">
        <f aca="false">IF(TRIM(Raw_Data!G45)="",1,0)</f>
        <v>0</v>
      </c>
      <c r="J45" s="68" t="n">
        <f aca="false">IF(I45=1,0,IF(OR(AND(LEFT(Raw_Data!G45,4)="+91 ",LEN(Raw_Data!G45)=15),AND(LEFT(Raw_Data!G45,7)="+91 11 ",LEN(Raw_Data!G45)=16)),0,1))</f>
        <v>1</v>
      </c>
      <c r="K45" s="68" t="n">
        <f aca="false">IF(TRIM(Raw_Data!I45)="",1,0)</f>
        <v>0</v>
      </c>
      <c r="L45" s="68" t="n">
        <f aca="false">IF(AND(TRIM(Raw_Data!N45)="",ISERROR(SEARCH("not started",Raw_Data!H45))),1,0)</f>
        <v>0</v>
      </c>
      <c r="M45" s="68" t="n">
        <f aca="false">IF(OR(ISTEXT(Raw_Data!J45),ISTEXT(Raw_Data!K45),ISTEXT(Raw_Data!L45)),1,0)</f>
        <v>0</v>
      </c>
      <c r="N45" s="68" t="n">
        <f aca="false">IF(Raw_Data!M45="",1,0)</f>
        <v>0</v>
      </c>
      <c r="O45" s="68" t="n">
        <f aca="false">IF(AND(ISNUMBER(Raw_Data!M45),Raw_Data!M45&lt;0),1,0)</f>
        <v>0</v>
      </c>
      <c r="P45" s="68" t="n">
        <f aca="false">IF(OR(Raw_Data!B45&lt;&gt;TRIM(Raw_Data!B45),Raw_Data!D45&lt;&gt;TRIM(Raw_Data!D45)),1,0)</f>
        <v>0</v>
      </c>
      <c r="Q45" s="68" t="n">
        <f aca="false">IF(AND(TRIM(Raw_Data!A45)&lt;&gt;"",COUNTIF(Raw_Data!$A$2:$A$92,Raw_Data!A45)&gt;1),1,0)</f>
        <v>0</v>
      </c>
      <c r="R45" s="68" t="n">
        <f aca="false">IF(AND(ISNUMBER(SEARCH("not started",Raw_Data!H45)),OR(N(Raw_Data!M45)&gt;0,Raw_Data!K45&lt;&gt;"")),1,0)</f>
        <v>0</v>
      </c>
      <c r="S45" s="68" t="n">
        <f aca="false">IF(AND(ISERROR(SEARCH("not started",Raw_Data!H45)),Raw_Data!K45=""),1,0)</f>
        <v>0</v>
      </c>
      <c r="T45" s="68" t="n">
        <f aca="false">IF(TRIM(Raw_Data!A45)="",1,0)</f>
        <v>0</v>
      </c>
      <c r="U45" s="68" t="n">
        <f aca="false">IF(OR(D45=1,E45=1),0,IF(IFERROR(INDEX(Lists!$F$2:$F$85,MATCH(TRIM(Raw_Data!B45),Lists!$E$2:$E$85,0)),Raw_Data!C45)=Raw_Data!C45,0,1))</f>
        <v>0</v>
      </c>
      <c r="V45" s="68" t="n">
        <f aca="false">IF(SUM(C45:U45)&gt;0,1,0)</f>
        <v>1</v>
      </c>
    </row>
    <row r="46" customFormat="false" ht="15" hidden="false" customHeight="false" outlineLevel="0" collapsed="false">
      <c r="A46" s="66" t="n">
        <f aca="false">ROW()-1</f>
        <v>45</v>
      </c>
      <c r="B46" s="66" t="str">
        <f aca="false">IF(TRIM(Raw_Data!A46)="","(blank)",Raw_Data!A46)</f>
        <v>EMB-045</v>
      </c>
      <c r="C46" s="68" t="n">
        <f aca="false">IF(SUMPRODUCT(--EXACT(Raw_Data!B46,Lists!$E$2:$E$85))=0,1,0)</f>
        <v>0</v>
      </c>
      <c r="D46" s="68" t="n">
        <f aca="false">IF(TRIM(Raw_Data!C46)="",1,0)</f>
        <v>0</v>
      </c>
      <c r="E46" s="68" t="n">
        <f aca="false">IF(AND(TRIM(Raw_Data!C46)&lt;&gt;"",SUMPRODUCT(--EXACT(Raw_Data!C46,Lists!$C$2:$C$7))=0),1,0)</f>
        <v>0</v>
      </c>
      <c r="F46" s="68" t="n">
        <f aca="false">IF(SUMPRODUCT(--EXACT(Raw_Data!H46,Lists!$A$2:$A$8))=0,1,0)</f>
        <v>0</v>
      </c>
      <c r="G46" s="68" t="n">
        <f aca="false">IF(TRIM(Raw_Data!F46)="",1,0)</f>
        <v>0</v>
      </c>
      <c r="H46" s="68" t="n">
        <f aca="false">IF(G46=1,0,IF(IFERROR(FIND(".",Raw_Data!F46,FIND("@",Raw_Data!F46)),0)&gt;0,0,1))</f>
        <v>0</v>
      </c>
      <c r="I46" s="68" t="n">
        <f aca="false">IF(TRIM(Raw_Data!G46)="",1,0)</f>
        <v>0</v>
      </c>
      <c r="J46" s="68" t="n">
        <f aca="false">IF(I46=1,0,IF(OR(AND(LEFT(Raw_Data!G46,4)="+91 ",LEN(Raw_Data!G46)=15),AND(LEFT(Raw_Data!G46,7)="+91 11 ",LEN(Raw_Data!G46)=16)),0,1))</f>
        <v>1</v>
      </c>
      <c r="K46" s="68" t="n">
        <f aca="false">IF(TRIM(Raw_Data!I46)="",1,0)</f>
        <v>0</v>
      </c>
      <c r="L46" s="68" t="n">
        <f aca="false">IF(AND(TRIM(Raw_Data!N46)="",ISERROR(SEARCH("not started",Raw_Data!H46))),1,0)</f>
        <v>0</v>
      </c>
      <c r="M46" s="68" t="n">
        <f aca="false">IF(OR(ISTEXT(Raw_Data!J46),ISTEXT(Raw_Data!K46),ISTEXT(Raw_Data!L46)),1,0)</f>
        <v>0</v>
      </c>
      <c r="N46" s="68" t="n">
        <f aca="false">IF(Raw_Data!M46="",1,0)</f>
        <v>0</v>
      </c>
      <c r="O46" s="68" t="n">
        <f aca="false">IF(AND(ISNUMBER(Raw_Data!M46),Raw_Data!M46&lt;0),1,0)</f>
        <v>0</v>
      </c>
      <c r="P46" s="68" t="n">
        <f aca="false">IF(OR(Raw_Data!B46&lt;&gt;TRIM(Raw_Data!B46),Raw_Data!D46&lt;&gt;TRIM(Raw_Data!D46)),1,0)</f>
        <v>0</v>
      </c>
      <c r="Q46" s="68" t="n">
        <f aca="false">IF(AND(TRIM(Raw_Data!A46)&lt;&gt;"",COUNTIF(Raw_Data!$A$2:$A$92,Raw_Data!A46)&gt;1),1,0)</f>
        <v>0</v>
      </c>
      <c r="R46" s="68" t="n">
        <f aca="false">IF(AND(ISNUMBER(SEARCH("not started",Raw_Data!H46)),OR(N(Raw_Data!M46)&gt;0,Raw_Data!K46&lt;&gt;"")),1,0)</f>
        <v>0</v>
      </c>
      <c r="S46" s="68" t="n">
        <f aca="false">IF(AND(ISERROR(SEARCH("not started",Raw_Data!H46)),Raw_Data!K46=""),1,0)</f>
        <v>0</v>
      </c>
      <c r="T46" s="68" t="n">
        <f aca="false">IF(TRIM(Raw_Data!A46)="",1,0)</f>
        <v>0</v>
      </c>
      <c r="U46" s="68" t="n">
        <f aca="false">IF(OR(D46=1,E46=1),0,IF(IFERROR(INDEX(Lists!$F$2:$F$85,MATCH(TRIM(Raw_Data!B46),Lists!$E$2:$E$85,0)),Raw_Data!C46)=Raw_Data!C46,0,1))</f>
        <v>1</v>
      </c>
      <c r="V46" s="68" t="n">
        <f aca="false">IF(SUM(C46:U46)&gt;0,1,0)</f>
        <v>1</v>
      </c>
    </row>
    <row r="47" customFormat="false" ht="15" hidden="false" customHeight="false" outlineLevel="0" collapsed="false">
      <c r="A47" s="66" t="n">
        <f aca="false">ROW()-1</f>
        <v>46</v>
      </c>
      <c r="B47" s="66" t="str">
        <f aca="false">IF(TRIM(Raw_Data!A47)="","(blank)",Raw_Data!A47)</f>
        <v>EMB-046</v>
      </c>
      <c r="C47" s="68" t="n">
        <f aca="false">IF(SUMPRODUCT(--EXACT(Raw_Data!B47,Lists!$E$2:$E$85))=0,1,0)</f>
        <v>0</v>
      </c>
      <c r="D47" s="68" t="n">
        <f aca="false">IF(TRIM(Raw_Data!C47)="",1,0)</f>
        <v>0</v>
      </c>
      <c r="E47" s="68" t="n">
        <f aca="false">IF(AND(TRIM(Raw_Data!C47)&lt;&gt;"",SUMPRODUCT(--EXACT(Raw_Data!C47,Lists!$C$2:$C$7))=0),1,0)</f>
        <v>0</v>
      </c>
      <c r="F47" s="68" t="n">
        <f aca="false">IF(SUMPRODUCT(--EXACT(Raw_Data!H47,Lists!$A$2:$A$8))=0,1,0)</f>
        <v>0</v>
      </c>
      <c r="G47" s="68" t="n">
        <f aca="false">IF(TRIM(Raw_Data!F47)="",1,0)</f>
        <v>0</v>
      </c>
      <c r="H47" s="68" t="n">
        <f aca="false">IF(G47=1,0,IF(IFERROR(FIND(".",Raw_Data!F47,FIND("@",Raw_Data!F47)),0)&gt;0,0,1))</f>
        <v>0</v>
      </c>
      <c r="I47" s="68" t="n">
        <f aca="false">IF(TRIM(Raw_Data!G47)="",1,0)</f>
        <v>0</v>
      </c>
      <c r="J47" s="68" t="n">
        <f aca="false">IF(I47=1,0,IF(OR(AND(LEFT(Raw_Data!G47,4)="+91 ",LEN(Raw_Data!G47)=15),AND(LEFT(Raw_Data!G47,7)="+91 11 ",LEN(Raw_Data!G47)=16)),0,1))</f>
        <v>0</v>
      </c>
      <c r="K47" s="68" t="n">
        <f aca="false">IF(TRIM(Raw_Data!I47)="",1,0)</f>
        <v>0</v>
      </c>
      <c r="L47" s="68" t="n">
        <f aca="false">IF(AND(TRIM(Raw_Data!N47)="",ISERROR(SEARCH("not started",Raw_Data!H47))),1,0)</f>
        <v>0</v>
      </c>
      <c r="M47" s="68" t="n">
        <f aca="false">IF(OR(ISTEXT(Raw_Data!J47),ISTEXT(Raw_Data!K47),ISTEXT(Raw_Data!L47)),1,0)</f>
        <v>0</v>
      </c>
      <c r="N47" s="68" t="n">
        <f aca="false">IF(Raw_Data!M47="",1,0)</f>
        <v>1</v>
      </c>
      <c r="O47" s="68" t="n">
        <f aca="false">IF(AND(ISNUMBER(Raw_Data!M47),Raw_Data!M47&lt;0),1,0)</f>
        <v>0</v>
      </c>
      <c r="P47" s="68" t="n">
        <f aca="false">IF(OR(Raw_Data!B47&lt;&gt;TRIM(Raw_Data!B47),Raw_Data!D47&lt;&gt;TRIM(Raw_Data!D47)),1,0)</f>
        <v>0</v>
      </c>
      <c r="Q47" s="68" t="n">
        <f aca="false">IF(AND(TRIM(Raw_Data!A47)&lt;&gt;"",COUNTIF(Raw_Data!$A$2:$A$92,Raw_Data!A47)&gt;1),1,0)</f>
        <v>0</v>
      </c>
      <c r="R47" s="68" t="n">
        <f aca="false">IF(AND(ISNUMBER(SEARCH("not started",Raw_Data!H47)),OR(N(Raw_Data!M47)&gt;0,Raw_Data!K47&lt;&gt;"")),1,0)</f>
        <v>0</v>
      </c>
      <c r="S47" s="68" t="n">
        <f aca="false">IF(AND(ISERROR(SEARCH("not started",Raw_Data!H47)),Raw_Data!K47=""),1,0)</f>
        <v>0</v>
      </c>
      <c r="T47" s="68" t="n">
        <f aca="false">IF(TRIM(Raw_Data!A47)="",1,0)</f>
        <v>0</v>
      </c>
      <c r="U47" s="68" t="n">
        <f aca="false">IF(OR(D47=1,E47=1),0,IF(IFERROR(INDEX(Lists!$F$2:$F$85,MATCH(TRIM(Raw_Data!B47),Lists!$E$2:$E$85,0)),Raw_Data!C47)=Raw_Data!C47,0,1))</f>
        <v>0</v>
      </c>
      <c r="V47" s="68" t="n">
        <f aca="false">IF(SUM(C47:U47)&gt;0,1,0)</f>
        <v>1</v>
      </c>
    </row>
    <row r="48" customFormat="false" ht="15" hidden="false" customHeight="false" outlineLevel="0" collapsed="false">
      <c r="A48" s="66" t="n">
        <f aca="false">ROW()-1</f>
        <v>47</v>
      </c>
      <c r="B48" s="66" t="str">
        <f aca="false">IF(TRIM(Raw_Data!A48)="","(blank)",Raw_Data!A48)</f>
        <v>EMB-047</v>
      </c>
      <c r="C48" s="68" t="n">
        <f aca="false">IF(SUMPRODUCT(--EXACT(Raw_Data!B48,Lists!$E$2:$E$85))=0,1,0)</f>
        <v>0</v>
      </c>
      <c r="D48" s="68" t="n">
        <f aca="false">IF(TRIM(Raw_Data!C48)="",1,0)</f>
        <v>0</v>
      </c>
      <c r="E48" s="68" t="n">
        <f aca="false">IF(AND(TRIM(Raw_Data!C48)&lt;&gt;"",SUMPRODUCT(--EXACT(Raw_Data!C48,Lists!$C$2:$C$7))=0),1,0)</f>
        <v>0</v>
      </c>
      <c r="F48" s="68" t="n">
        <f aca="false">IF(SUMPRODUCT(--EXACT(Raw_Data!H48,Lists!$A$2:$A$8))=0,1,0)</f>
        <v>0</v>
      </c>
      <c r="G48" s="68" t="n">
        <f aca="false">IF(TRIM(Raw_Data!F48)="",1,0)</f>
        <v>0</v>
      </c>
      <c r="H48" s="68" t="n">
        <f aca="false">IF(G48=1,0,IF(IFERROR(FIND(".",Raw_Data!F48,FIND("@",Raw_Data!F48)),0)&gt;0,0,1))</f>
        <v>0</v>
      </c>
      <c r="I48" s="68" t="n">
        <f aca="false">IF(TRIM(Raw_Data!G48)="",1,0)</f>
        <v>0</v>
      </c>
      <c r="J48" s="68" t="n">
        <f aca="false">IF(I48=1,0,IF(OR(AND(LEFT(Raw_Data!G48,4)="+91 ",LEN(Raw_Data!G48)=15),AND(LEFT(Raw_Data!G48,7)="+91 11 ",LEN(Raw_Data!G48)=16)),0,1))</f>
        <v>0</v>
      </c>
      <c r="K48" s="68" t="n">
        <f aca="false">IF(TRIM(Raw_Data!I48)="",1,0)</f>
        <v>0</v>
      </c>
      <c r="L48" s="68" t="n">
        <f aca="false">IF(AND(TRIM(Raw_Data!N48)="",ISERROR(SEARCH("not started",Raw_Data!H48))),1,0)</f>
        <v>0</v>
      </c>
      <c r="M48" s="68" t="n">
        <f aca="false">IF(OR(ISTEXT(Raw_Data!J48),ISTEXT(Raw_Data!K48),ISTEXT(Raw_Data!L48)),1,0)</f>
        <v>0</v>
      </c>
      <c r="N48" s="68" t="n">
        <f aca="false">IF(Raw_Data!M48="",1,0)</f>
        <v>0</v>
      </c>
      <c r="O48" s="68" t="n">
        <f aca="false">IF(AND(ISNUMBER(Raw_Data!M48),Raw_Data!M48&lt;0),1,0)</f>
        <v>0</v>
      </c>
      <c r="P48" s="68" t="n">
        <f aca="false">IF(OR(Raw_Data!B48&lt;&gt;TRIM(Raw_Data!B48),Raw_Data!D48&lt;&gt;TRIM(Raw_Data!D48)),1,0)</f>
        <v>0</v>
      </c>
      <c r="Q48" s="68" t="n">
        <f aca="false">IF(AND(TRIM(Raw_Data!A48)&lt;&gt;"",COUNTIF(Raw_Data!$A$2:$A$92,Raw_Data!A48)&gt;1),1,0)</f>
        <v>0</v>
      </c>
      <c r="R48" s="68" t="n">
        <f aca="false">IF(AND(ISNUMBER(SEARCH("not started",Raw_Data!H48)),OR(N(Raw_Data!M48)&gt;0,Raw_Data!K48&lt;&gt;"")),1,0)</f>
        <v>0</v>
      </c>
      <c r="S48" s="68" t="n">
        <f aca="false">IF(AND(ISERROR(SEARCH("not started",Raw_Data!H48)),Raw_Data!K48=""),1,0)</f>
        <v>1</v>
      </c>
      <c r="T48" s="68" t="n">
        <f aca="false">IF(TRIM(Raw_Data!A48)="",1,0)</f>
        <v>0</v>
      </c>
      <c r="U48" s="68" t="n">
        <f aca="false">IF(OR(D48=1,E48=1),0,IF(IFERROR(INDEX(Lists!$F$2:$F$85,MATCH(TRIM(Raw_Data!B48),Lists!$E$2:$E$85,0)),Raw_Data!C48)=Raw_Data!C48,0,1))</f>
        <v>0</v>
      </c>
      <c r="V48" s="68" t="n">
        <f aca="false">IF(SUM(C48:U48)&gt;0,1,0)</f>
        <v>1</v>
      </c>
    </row>
    <row r="49" customFormat="false" ht="15" hidden="false" customHeight="false" outlineLevel="0" collapsed="false">
      <c r="A49" s="66" t="n">
        <f aca="false">ROW()-1</f>
        <v>48</v>
      </c>
      <c r="B49" s="66" t="str">
        <f aca="false">IF(TRIM(Raw_Data!A49)="","(blank)",Raw_Data!A49)</f>
        <v>EMB-048</v>
      </c>
      <c r="C49" s="68" t="n">
        <f aca="false">IF(SUMPRODUCT(--EXACT(Raw_Data!B49,Lists!$E$2:$E$85))=0,1,0)</f>
        <v>0</v>
      </c>
      <c r="D49" s="68" t="n">
        <f aca="false">IF(TRIM(Raw_Data!C49)="",1,0)</f>
        <v>0</v>
      </c>
      <c r="E49" s="68" t="n">
        <f aca="false">IF(AND(TRIM(Raw_Data!C49)&lt;&gt;"",SUMPRODUCT(--EXACT(Raw_Data!C49,Lists!$C$2:$C$7))=0),1,0)</f>
        <v>0</v>
      </c>
      <c r="F49" s="68" t="n">
        <f aca="false">IF(SUMPRODUCT(--EXACT(Raw_Data!H49,Lists!$A$2:$A$8))=0,1,0)</f>
        <v>0</v>
      </c>
      <c r="G49" s="68" t="n">
        <f aca="false">IF(TRIM(Raw_Data!F49)="",1,0)</f>
        <v>1</v>
      </c>
      <c r="H49" s="68" t="n">
        <f aca="false">IF(G49=1,0,IF(IFERROR(FIND(".",Raw_Data!F49,FIND("@",Raw_Data!F49)),0)&gt;0,0,1))</f>
        <v>0</v>
      </c>
      <c r="I49" s="68" t="n">
        <f aca="false">IF(TRIM(Raw_Data!G49)="",1,0)</f>
        <v>0</v>
      </c>
      <c r="J49" s="68" t="n">
        <f aca="false">IF(I49=1,0,IF(OR(AND(LEFT(Raw_Data!G49,4)="+91 ",LEN(Raw_Data!G49)=15),AND(LEFT(Raw_Data!G49,7)="+91 11 ",LEN(Raw_Data!G49)=16)),0,1))</f>
        <v>0</v>
      </c>
      <c r="K49" s="68" t="n">
        <f aca="false">IF(TRIM(Raw_Data!I49)="",1,0)</f>
        <v>0</v>
      </c>
      <c r="L49" s="68" t="n">
        <f aca="false">IF(AND(TRIM(Raw_Data!N49)="",ISERROR(SEARCH("not started",Raw_Data!H49))),1,0)</f>
        <v>0</v>
      </c>
      <c r="M49" s="68" t="n">
        <f aca="false">IF(OR(ISTEXT(Raw_Data!J49),ISTEXT(Raw_Data!K49),ISTEXT(Raw_Data!L49)),1,0)</f>
        <v>0</v>
      </c>
      <c r="N49" s="68" t="n">
        <f aca="false">IF(Raw_Data!M49="",1,0)</f>
        <v>0</v>
      </c>
      <c r="O49" s="68" t="n">
        <f aca="false">IF(AND(ISNUMBER(Raw_Data!M49),Raw_Data!M49&lt;0),1,0)</f>
        <v>0</v>
      </c>
      <c r="P49" s="68" t="n">
        <f aca="false">IF(OR(Raw_Data!B49&lt;&gt;TRIM(Raw_Data!B49),Raw_Data!D49&lt;&gt;TRIM(Raw_Data!D49)),1,0)</f>
        <v>0</v>
      </c>
      <c r="Q49" s="68" t="n">
        <f aca="false">IF(AND(TRIM(Raw_Data!A49)&lt;&gt;"",COUNTIF(Raw_Data!$A$2:$A$92,Raw_Data!A49)&gt;1),1,0)</f>
        <v>0</v>
      </c>
      <c r="R49" s="68" t="n">
        <f aca="false">IF(AND(ISNUMBER(SEARCH("not started",Raw_Data!H49)),OR(N(Raw_Data!M49)&gt;0,Raw_Data!K49&lt;&gt;"")),1,0)</f>
        <v>0</v>
      </c>
      <c r="S49" s="68" t="n">
        <f aca="false">IF(AND(ISERROR(SEARCH("not started",Raw_Data!H49)),Raw_Data!K49=""),1,0)</f>
        <v>0</v>
      </c>
      <c r="T49" s="68" t="n">
        <f aca="false">IF(TRIM(Raw_Data!A49)="",1,0)</f>
        <v>0</v>
      </c>
      <c r="U49" s="68" t="n">
        <f aca="false">IF(OR(D49=1,E49=1),0,IF(IFERROR(INDEX(Lists!$F$2:$F$85,MATCH(TRIM(Raw_Data!B49),Lists!$E$2:$E$85,0)),Raw_Data!C49)=Raw_Data!C49,0,1))</f>
        <v>1</v>
      </c>
      <c r="V49" s="68" t="n">
        <f aca="false">IF(SUM(C49:U49)&gt;0,1,0)</f>
        <v>1</v>
      </c>
    </row>
    <row r="50" customFormat="false" ht="15" hidden="false" customHeight="false" outlineLevel="0" collapsed="false">
      <c r="A50" s="66" t="n">
        <f aca="false">ROW()-1</f>
        <v>49</v>
      </c>
      <c r="B50" s="66" t="str">
        <f aca="false">IF(TRIM(Raw_Data!A50)="","(blank)",Raw_Data!A50)</f>
        <v>EMB-049</v>
      </c>
      <c r="C50" s="68" t="n">
        <f aca="false">IF(SUMPRODUCT(--EXACT(Raw_Data!B50,Lists!$E$2:$E$85))=0,1,0)</f>
        <v>0</v>
      </c>
      <c r="D50" s="68" t="n">
        <f aca="false">IF(TRIM(Raw_Data!C50)="",1,0)</f>
        <v>0</v>
      </c>
      <c r="E50" s="68" t="n">
        <f aca="false">IF(AND(TRIM(Raw_Data!C50)&lt;&gt;"",SUMPRODUCT(--EXACT(Raw_Data!C50,Lists!$C$2:$C$7))=0),1,0)</f>
        <v>0</v>
      </c>
      <c r="F50" s="68" t="n">
        <f aca="false">IF(SUMPRODUCT(--EXACT(Raw_Data!H50,Lists!$A$2:$A$8))=0,1,0)</f>
        <v>0</v>
      </c>
      <c r="G50" s="68" t="n">
        <f aca="false">IF(TRIM(Raw_Data!F50)="",1,0)</f>
        <v>0</v>
      </c>
      <c r="H50" s="68" t="n">
        <f aca="false">IF(G50=1,0,IF(IFERROR(FIND(".",Raw_Data!F50,FIND("@",Raw_Data!F50)),0)&gt;0,0,1))</f>
        <v>1</v>
      </c>
      <c r="I50" s="68" t="n">
        <f aca="false">IF(TRIM(Raw_Data!G50)="",1,0)</f>
        <v>0</v>
      </c>
      <c r="J50" s="68" t="n">
        <f aca="false">IF(I50=1,0,IF(OR(AND(LEFT(Raw_Data!G50,4)="+91 ",LEN(Raw_Data!G50)=15),AND(LEFT(Raw_Data!G50,7)="+91 11 ",LEN(Raw_Data!G50)=16)),0,1))</f>
        <v>0</v>
      </c>
      <c r="K50" s="68" t="n">
        <f aca="false">IF(TRIM(Raw_Data!I50)="",1,0)</f>
        <v>0</v>
      </c>
      <c r="L50" s="68" t="n">
        <f aca="false">IF(AND(TRIM(Raw_Data!N50)="",ISERROR(SEARCH("not started",Raw_Data!H50))),1,0)</f>
        <v>0</v>
      </c>
      <c r="M50" s="68" t="n">
        <f aca="false">IF(OR(ISTEXT(Raw_Data!J50),ISTEXT(Raw_Data!K50),ISTEXT(Raw_Data!L50)),1,0)</f>
        <v>0</v>
      </c>
      <c r="N50" s="68" t="n">
        <f aca="false">IF(Raw_Data!M50="",1,0)</f>
        <v>1</v>
      </c>
      <c r="O50" s="68" t="n">
        <f aca="false">IF(AND(ISNUMBER(Raw_Data!M50),Raw_Data!M50&lt;0),1,0)</f>
        <v>0</v>
      </c>
      <c r="P50" s="68" t="n">
        <f aca="false">IF(OR(Raw_Data!B50&lt;&gt;TRIM(Raw_Data!B50),Raw_Data!D50&lt;&gt;TRIM(Raw_Data!D50)),1,0)</f>
        <v>0</v>
      </c>
      <c r="Q50" s="68" t="n">
        <f aca="false">IF(AND(TRIM(Raw_Data!A50)&lt;&gt;"",COUNTIF(Raw_Data!$A$2:$A$92,Raw_Data!A50)&gt;1),1,0)</f>
        <v>0</v>
      </c>
      <c r="R50" s="68" t="n">
        <f aca="false">IF(AND(ISNUMBER(SEARCH("not started",Raw_Data!H50)),OR(N(Raw_Data!M50)&gt;0,Raw_Data!K50&lt;&gt;"")),1,0)</f>
        <v>0</v>
      </c>
      <c r="S50" s="68" t="n">
        <f aca="false">IF(AND(ISERROR(SEARCH("not started",Raw_Data!H50)),Raw_Data!K50=""),1,0)</f>
        <v>0</v>
      </c>
      <c r="T50" s="68" t="n">
        <f aca="false">IF(TRIM(Raw_Data!A50)="",1,0)</f>
        <v>0</v>
      </c>
      <c r="U50" s="68" t="n">
        <f aca="false">IF(OR(D50=1,E50=1),0,IF(IFERROR(INDEX(Lists!$F$2:$F$85,MATCH(TRIM(Raw_Data!B50),Lists!$E$2:$E$85,0)),Raw_Data!C50)=Raw_Data!C50,0,1))</f>
        <v>0</v>
      </c>
      <c r="V50" s="68" t="n">
        <f aca="false">IF(SUM(C50:U50)&gt;0,1,0)</f>
        <v>1</v>
      </c>
    </row>
    <row r="51" customFormat="false" ht="15" hidden="false" customHeight="false" outlineLevel="0" collapsed="false">
      <c r="A51" s="66" t="n">
        <f aca="false">ROW()-1</f>
        <v>50</v>
      </c>
      <c r="B51" s="66" t="str">
        <f aca="false">IF(TRIM(Raw_Data!A51)="","(blank)",Raw_Data!A51)</f>
        <v>EMB-050</v>
      </c>
      <c r="C51" s="68" t="n">
        <f aca="false">IF(SUMPRODUCT(--EXACT(Raw_Data!B51,Lists!$E$2:$E$85))=0,1,0)</f>
        <v>0</v>
      </c>
      <c r="D51" s="68" t="n">
        <f aca="false">IF(TRIM(Raw_Data!C51)="",1,0)</f>
        <v>0</v>
      </c>
      <c r="E51" s="68" t="n">
        <f aca="false">IF(AND(TRIM(Raw_Data!C51)&lt;&gt;"",SUMPRODUCT(--EXACT(Raw_Data!C51,Lists!$C$2:$C$7))=0),1,0)</f>
        <v>1</v>
      </c>
      <c r="F51" s="68" t="n">
        <f aca="false">IF(SUMPRODUCT(--EXACT(Raw_Data!H51,Lists!$A$2:$A$8))=0,1,0)</f>
        <v>0</v>
      </c>
      <c r="G51" s="68" t="n">
        <f aca="false">IF(TRIM(Raw_Data!F51)="",1,0)</f>
        <v>0</v>
      </c>
      <c r="H51" s="68" t="n">
        <f aca="false">IF(G51=1,0,IF(IFERROR(FIND(".",Raw_Data!F51,FIND("@",Raw_Data!F51)),0)&gt;0,0,1))</f>
        <v>0</v>
      </c>
      <c r="I51" s="68" t="n">
        <f aca="false">IF(TRIM(Raw_Data!G51)="",1,0)</f>
        <v>0</v>
      </c>
      <c r="J51" s="68" t="n">
        <f aca="false">IF(I51=1,0,IF(OR(AND(LEFT(Raw_Data!G51,4)="+91 ",LEN(Raw_Data!G51)=15),AND(LEFT(Raw_Data!G51,7)="+91 11 ",LEN(Raw_Data!G51)=16)),0,1))</f>
        <v>0</v>
      </c>
      <c r="K51" s="68" t="n">
        <f aca="false">IF(TRIM(Raw_Data!I51)="",1,0)</f>
        <v>0</v>
      </c>
      <c r="L51" s="68" t="n">
        <f aca="false">IF(AND(TRIM(Raw_Data!N51)="",ISERROR(SEARCH("not started",Raw_Data!H51))),1,0)</f>
        <v>0</v>
      </c>
      <c r="M51" s="68" t="n">
        <f aca="false">IF(OR(ISTEXT(Raw_Data!J51),ISTEXT(Raw_Data!K51),ISTEXT(Raw_Data!L51)),1,0)</f>
        <v>1</v>
      </c>
      <c r="N51" s="68" t="n">
        <f aca="false">IF(Raw_Data!M51="",1,0)</f>
        <v>0</v>
      </c>
      <c r="O51" s="68" t="n">
        <f aca="false">IF(AND(ISNUMBER(Raw_Data!M51),Raw_Data!M51&lt;0),1,0)</f>
        <v>0</v>
      </c>
      <c r="P51" s="68" t="n">
        <f aca="false">IF(OR(Raw_Data!B51&lt;&gt;TRIM(Raw_Data!B51),Raw_Data!D51&lt;&gt;TRIM(Raw_Data!D51)),1,0)</f>
        <v>0</v>
      </c>
      <c r="Q51" s="68" t="n">
        <f aca="false">IF(AND(TRIM(Raw_Data!A51)&lt;&gt;"",COUNTIF(Raw_Data!$A$2:$A$92,Raw_Data!A51)&gt;1),1,0)</f>
        <v>0</v>
      </c>
      <c r="R51" s="68" t="n">
        <f aca="false">IF(AND(ISNUMBER(SEARCH("not started",Raw_Data!H51)),OR(N(Raw_Data!M51)&gt;0,Raw_Data!K51&lt;&gt;"")),1,0)</f>
        <v>0</v>
      </c>
      <c r="S51" s="68" t="n">
        <f aca="false">IF(AND(ISERROR(SEARCH("not started",Raw_Data!H51)),Raw_Data!K51=""),1,0)</f>
        <v>0</v>
      </c>
      <c r="T51" s="68" t="n">
        <f aca="false">IF(TRIM(Raw_Data!A51)="",1,0)</f>
        <v>0</v>
      </c>
      <c r="U51" s="68" t="n">
        <f aca="false">IF(OR(D51=1,E51=1),0,IF(IFERROR(INDEX(Lists!$F$2:$F$85,MATCH(TRIM(Raw_Data!B51),Lists!$E$2:$E$85,0)),Raw_Data!C51)=Raw_Data!C51,0,1))</f>
        <v>0</v>
      </c>
      <c r="V51" s="68" t="n">
        <f aca="false">IF(SUM(C51:U51)&gt;0,1,0)</f>
        <v>1</v>
      </c>
    </row>
    <row r="52" customFormat="false" ht="15" hidden="false" customHeight="false" outlineLevel="0" collapsed="false">
      <c r="A52" s="66" t="n">
        <f aca="false">ROW()-1</f>
        <v>51</v>
      </c>
      <c r="B52" s="66" t="str">
        <f aca="false">IF(TRIM(Raw_Data!A52)="","(blank)",Raw_Data!A52)</f>
        <v>EMB-051</v>
      </c>
      <c r="C52" s="68" t="n">
        <f aca="false">IF(SUMPRODUCT(--EXACT(Raw_Data!B52,Lists!$E$2:$E$85))=0,1,0)</f>
        <v>0</v>
      </c>
      <c r="D52" s="68" t="n">
        <f aca="false">IF(TRIM(Raw_Data!C52)="",1,0)</f>
        <v>0</v>
      </c>
      <c r="E52" s="68" t="n">
        <f aca="false">IF(AND(TRIM(Raw_Data!C52)&lt;&gt;"",SUMPRODUCT(--EXACT(Raw_Data!C52,Lists!$C$2:$C$7))=0),1,0)</f>
        <v>0</v>
      </c>
      <c r="F52" s="68" t="n">
        <f aca="false">IF(SUMPRODUCT(--EXACT(Raw_Data!H52,Lists!$A$2:$A$8))=0,1,0)</f>
        <v>0</v>
      </c>
      <c r="G52" s="68" t="n">
        <f aca="false">IF(TRIM(Raw_Data!F52)="",1,0)</f>
        <v>0</v>
      </c>
      <c r="H52" s="68" t="n">
        <f aca="false">IF(G52=1,0,IF(IFERROR(FIND(".",Raw_Data!F52,FIND("@",Raw_Data!F52)),0)&gt;0,0,1))</f>
        <v>0</v>
      </c>
      <c r="I52" s="68" t="n">
        <f aca="false">IF(TRIM(Raw_Data!G52)="",1,0)</f>
        <v>0</v>
      </c>
      <c r="J52" s="68" t="n">
        <f aca="false">IF(I52=1,0,IF(OR(AND(LEFT(Raw_Data!G52,4)="+91 ",LEN(Raw_Data!G52)=15),AND(LEFT(Raw_Data!G52,7)="+91 11 ",LEN(Raw_Data!G52)=16)),0,1))</f>
        <v>0</v>
      </c>
      <c r="K52" s="68" t="n">
        <f aca="false">IF(TRIM(Raw_Data!I52)="",1,0)</f>
        <v>1</v>
      </c>
      <c r="L52" s="68" t="n">
        <f aca="false">IF(AND(TRIM(Raw_Data!N52)="",ISERROR(SEARCH("not started",Raw_Data!H52))),1,0)</f>
        <v>0</v>
      </c>
      <c r="M52" s="68" t="n">
        <f aca="false">IF(OR(ISTEXT(Raw_Data!J52),ISTEXT(Raw_Data!K52),ISTEXT(Raw_Data!L52)),1,0)</f>
        <v>0</v>
      </c>
      <c r="N52" s="68" t="n">
        <f aca="false">IF(Raw_Data!M52="",1,0)</f>
        <v>0</v>
      </c>
      <c r="O52" s="68" t="n">
        <f aca="false">IF(AND(ISNUMBER(Raw_Data!M52),Raw_Data!M52&lt;0),1,0)</f>
        <v>0</v>
      </c>
      <c r="P52" s="68" t="n">
        <f aca="false">IF(OR(Raw_Data!B52&lt;&gt;TRIM(Raw_Data!B52),Raw_Data!D52&lt;&gt;TRIM(Raw_Data!D52)),1,0)</f>
        <v>0</v>
      </c>
      <c r="Q52" s="68" t="n">
        <f aca="false">IF(AND(TRIM(Raw_Data!A52)&lt;&gt;"",COUNTIF(Raw_Data!$A$2:$A$92,Raw_Data!A52)&gt;1),1,0)</f>
        <v>1</v>
      </c>
      <c r="R52" s="68" t="n">
        <f aca="false">IF(AND(ISNUMBER(SEARCH("not started",Raw_Data!H52)),OR(N(Raw_Data!M52)&gt;0,Raw_Data!K52&lt;&gt;"")),1,0)</f>
        <v>0</v>
      </c>
      <c r="S52" s="68" t="n">
        <f aca="false">IF(AND(ISERROR(SEARCH("not started",Raw_Data!H52)),Raw_Data!K52=""),1,0)</f>
        <v>0</v>
      </c>
      <c r="T52" s="68" t="n">
        <f aca="false">IF(TRIM(Raw_Data!A52)="",1,0)</f>
        <v>0</v>
      </c>
      <c r="U52" s="68" t="n">
        <f aca="false">IF(OR(D52=1,E52=1),0,IF(IFERROR(INDEX(Lists!$F$2:$F$85,MATCH(TRIM(Raw_Data!B52),Lists!$E$2:$E$85,0)),Raw_Data!C52)=Raw_Data!C52,0,1))</f>
        <v>0</v>
      </c>
      <c r="V52" s="68" t="n">
        <f aca="false">IF(SUM(C52:U52)&gt;0,1,0)</f>
        <v>1</v>
      </c>
    </row>
    <row r="53" customFormat="false" ht="15" hidden="false" customHeight="false" outlineLevel="0" collapsed="false">
      <c r="A53" s="66" t="n">
        <f aca="false">ROW()-1</f>
        <v>52</v>
      </c>
      <c r="B53" s="66" t="str">
        <f aca="false">IF(TRIM(Raw_Data!A53)="","(blank)",Raw_Data!A53)</f>
        <v>EMB-052</v>
      </c>
      <c r="C53" s="68" t="n">
        <f aca="false">IF(SUMPRODUCT(--EXACT(Raw_Data!B53,Lists!$E$2:$E$85))=0,1,0)</f>
        <v>0</v>
      </c>
      <c r="D53" s="68" t="n">
        <f aca="false">IF(TRIM(Raw_Data!C53)="",1,0)</f>
        <v>0</v>
      </c>
      <c r="E53" s="68" t="n">
        <f aca="false">IF(AND(TRIM(Raw_Data!C53)&lt;&gt;"",SUMPRODUCT(--EXACT(Raw_Data!C53,Lists!$C$2:$C$7))=0),1,0)</f>
        <v>1</v>
      </c>
      <c r="F53" s="68" t="n">
        <f aca="false">IF(SUMPRODUCT(--EXACT(Raw_Data!H53,Lists!$A$2:$A$8))=0,1,0)</f>
        <v>0</v>
      </c>
      <c r="G53" s="68" t="n">
        <f aca="false">IF(TRIM(Raw_Data!F53)="",1,0)</f>
        <v>0</v>
      </c>
      <c r="H53" s="68" t="n">
        <f aca="false">IF(G53=1,0,IF(IFERROR(FIND(".",Raw_Data!F53,FIND("@",Raw_Data!F53)),0)&gt;0,0,1))</f>
        <v>0</v>
      </c>
      <c r="I53" s="68" t="n">
        <f aca="false">IF(TRIM(Raw_Data!G53)="",1,0)</f>
        <v>1</v>
      </c>
      <c r="J53" s="68" t="n">
        <f aca="false">IF(I53=1,0,IF(OR(AND(LEFT(Raw_Data!G53,4)="+91 ",LEN(Raw_Data!G53)=15),AND(LEFT(Raw_Data!G53,7)="+91 11 ",LEN(Raw_Data!G53)=16)),0,1))</f>
        <v>0</v>
      </c>
      <c r="K53" s="68" t="n">
        <f aca="false">IF(TRIM(Raw_Data!I53)="",1,0)</f>
        <v>0</v>
      </c>
      <c r="L53" s="68" t="n">
        <f aca="false">IF(AND(TRIM(Raw_Data!N53)="",ISERROR(SEARCH("not started",Raw_Data!H53))),1,0)</f>
        <v>0</v>
      </c>
      <c r="M53" s="68" t="n">
        <f aca="false">IF(OR(ISTEXT(Raw_Data!J53),ISTEXT(Raw_Data!K53),ISTEXT(Raw_Data!L53)),1,0)</f>
        <v>0</v>
      </c>
      <c r="N53" s="68" t="n">
        <f aca="false">IF(Raw_Data!M53="",1,0)</f>
        <v>0</v>
      </c>
      <c r="O53" s="68" t="n">
        <f aca="false">IF(AND(ISNUMBER(Raw_Data!M53),Raw_Data!M53&lt;0),1,0)</f>
        <v>0</v>
      </c>
      <c r="P53" s="68" t="n">
        <f aca="false">IF(OR(Raw_Data!B53&lt;&gt;TRIM(Raw_Data!B53),Raw_Data!D53&lt;&gt;TRIM(Raw_Data!D53)),1,0)</f>
        <v>0</v>
      </c>
      <c r="Q53" s="68" t="n">
        <f aca="false">IF(AND(TRIM(Raw_Data!A53)&lt;&gt;"",COUNTIF(Raw_Data!$A$2:$A$92,Raw_Data!A53)&gt;1),1,0)</f>
        <v>0</v>
      </c>
      <c r="R53" s="68" t="n">
        <f aca="false">IF(AND(ISNUMBER(SEARCH("not started",Raw_Data!H53)),OR(N(Raw_Data!M53)&gt;0,Raw_Data!K53&lt;&gt;"")),1,0)</f>
        <v>0</v>
      </c>
      <c r="S53" s="68" t="n">
        <f aca="false">IF(AND(ISERROR(SEARCH("not started",Raw_Data!H53)),Raw_Data!K53=""),1,0)</f>
        <v>0</v>
      </c>
      <c r="T53" s="68" t="n">
        <f aca="false">IF(TRIM(Raw_Data!A53)="",1,0)</f>
        <v>0</v>
      </c>
      <c r="U53" s="68" t="n">
        <f aca="false">IF(OR(D53=1,E53=1),0,IF(IFERROR(INDEX(Lists!$F$2:$F$85,MATCH(TRIM(Raw_Data!B53),Lists!$E$2:$E$85,0)),Raw_Data!C53)=Raw_Data!C53,0,1))</f>
        <v>0</v>
      </c>
      <c r="V53" s="68" t="n">
        <f aca="false">IF(SUM(C53:U53)&gt;0,1,0)</f>
        <v>1</v>
      </c>
    </row>
    <row r="54" customFormat="false" ht="15" hidden="false" customHeight="false" outlineLevel="0" collapsed="false">
      <c r="A54" s="66" t="n">
        <f aca="false">ROW()-1</f>
        <v>53</v>
      </c>
      <c r="B54" s="66" t="str">
        <f aca="false">IF(TRIM(Raw_Data!A54)="","(blank)",Raw_Data!A54)</f>
        <v>EMB-053</v>
      </c>
      <c r="C54" s="68" t="n">
        <f aca="false">IF(SUMPRODUCT(--EXACT(Raw_Data!B54,Lists!$E$2:$E$85))=0,1,0)</f>
        <v>0</v>
      </c>
      <c r="D54" s="68" t="n">
        <f aca="false">IF(TRIM(Raw_Data!C54)="",1,0)</f>
        <v>0</v>
      </c>
      <c r="E54" s="68" t="n">
        <f aca="false">IF(AND(TRIM(Raw_Data!C54)&lt;&gt;"",SUMPRODUCT(--EXACT(Raw_Data!C54,Lists!$C$2:$C$7))=0),1,0)</f>
        <v>0</v>
      </c>
      <c r="F54" s="68" t="n">
        <f aca="false">IF(SUMPRODUCT(--EXACT(Raw_Data!H54,Lists!$A$2:$A$8))=0,1,0)</f>
        <v>0</v>
      </c>
      <c r="G54" s="68" t="n">
        <f aca="false">IF(TRIM(Raw_Data!F54)="",1,0)</f>
        <v>0</v>
      </c>
      <c r="H54" s="68" t="n">
        <f aca="false">IF(G54=1,0,IF(IFERROR(FIND(".",Raw_Data!F54,FIND("@",Raw_Data!F54)),0)&gt;0,0,1))</f>
        <v>0</v>
      </c>
      <c r="I54" s="68" t="n">
        <f aca="false">IF(TRIM(Raw_Data!G54)="",1,0)</f>
        <v>0</v>
      </c>
      <c r="J54" s="68" t="n">
        <f aca="false">IF(I54=1,0,IF(OR(AND(LEFT(Raw_Data!G54,4)="+91 ",LEN(Raw_Data!G54)=15),AND(LEFT(Raw_Data!G54,7)="+91 11 ",LEN(Raw_Data!G54)=16)),0,1))</f>
        <v>1</v>
      </c>
      <c r="K54" s="68" t="n">
        <f aca="false">IF(TRIM(Raw_Data!I54)="",1,0)</f>
        <v>0</v>
      </c>
      <c r="L54" s="68" t="n">
        <f aca="false">IF(AND(TRIM(Raw_Data!N54)="",ISERROR(SEARCH("not started",Raw_Data!H54))),1,0)</f>
        <v>0</v>
      </c>
      <c r="M54" s="68" t="n">
        <f aca="false">IF(OR(ISTEXT(Raw_Data!J54),ISTEXT(Raw_Data!K54),ISTEXT(Raw_Data!L54)),1,0)</f>
        <v>0</v>
      </c>
      <c r="N54" s="68" t="n">
        <f aca="false">IF(Raw_Data!M54="",1,0)</f>
        <v>0</v>
      </c>
      <c r="O54" s="68" t="n">
        <f aca="false">IF(AND(ISNUMBER(Raw_Data!M54),Raw_Data!M54&lt;0),1,0)</f>
        <v>0</v>
      </c>
      <c r="P54" s="68" t="n">
        <f aca="false">IF(OR(Raw_Data!B54&lt;&gt;TRIM(Raw_Data!B54),Raw_Data!D54&lt;&gt;TRIM(Raw_Data!D54)),1,0)</f>
        <v>0</v>
      </c>
      <c r="Q54" s="68" t="n">
        <f aca="false">IF(AND(TRIM(Raw_Data!A54)&lt;&gt;"",COUNTIF(Raw_Data!$A$2:$A$92,Raw_Data!A54)&gt;1),1,0)</f>
        <v>0</v>
      </c>
      <c r="R54" s="68" t="n">
        <f aca="false">IF(AND(ISNUMBER(SEARCH("not started",Raw_Data!H54)),OR(N(Raw_Data!M54)&gt;0,Raw_Data!K54&lt;&gt;"")),1,0)</f>
        <v>0</v>
      </c>
      <c r="S54" s="68" t="n">
        <f aca="false">IF(AND(ISERROR(SEARCH("not started",Raw_Data!H54)),Raw_Data!K54=""),1,0)</f>
        <v>0</v>
      </c>
      <c r="T54" s="68" t="n">
        <f aca="false">IF(TRIM(Raw_Data!A54)="",1,0)</f>
        <v>0</v>
      </c>
      <c r="U54" s="68" t="n">
        <f aca="false">IF(OR(D54=1,E54=1),0,IF(IFERROR(INDEX(Lists!$F$2:$F$85,MATCH(TRIM(Raw_Data!B54),Lists!$E$2:$E$85,0)),Raw_Data!C54)=Raw_Data!C54,0,1))</f>
        <v>0</v>
      </c>
      <c r="V54" s="68" t="n">
        <f aca="false">IF(SUM(C54:U54)&gt;0,1,0)</f>
        <v>1</v>
      </c>
    </row>
    <row r="55" customFormat="false" ht="15" hidden="false" customHeight="false" outlineLevel="0" collapsed="false">
      <c r="A55" s="66" t="n">
        <f aca="false">ROW()-1</f>
        <v>54</v>
      </c>
      <c r="B55" s="66" t="str">
        <f aca="false">IF(TRIM(Raw_Data!A55)="","(blank)",Raw_Data!A55)</f>
        <v>EMB-054</v>
      </c>
      <c r="C55" s="68" t="n">
        <f aca="false">IF(SUMPRODUCT(--EXACT(Raw_Data!B55,Lists!$E$2:$E$85))=0,1,0)</f>
        <v>0</v>
      </c>
      <c r="D55" s="68" t="n">
        <f aca="false">IF(TRIM(Raw_Data!C55)="",1,0)</f>
        <v>0</v>
      </c>
      <c r="E55" s="68" t="n">
        <f aca="false">IF(AND(TRIM(Raw_Data!C55)&lt;&gt;"",SUMPRODUCT(--EXACT(Raw_Data!C55,Lists!$C$2:$C$7))=0),1,0)</f>
        <v>0</v>
      </c>
      <c r="F55" s="68" t="n">
        <f aca="false">IF(SUMPRODUCT(--EXACT(Raw_Data!H55,Lists!$A$2:$A$8))=0,1,0)</f>
        <v>0</v>
      </c>
      <c r="G55" s="68" t="n">
        <f aca="false">IF(TRIM(Raw_Data!F55)="",1,0)</f>
        <v>0</v>
      </c>
      <c r="H55" s="68" t="n">
        <f aca="false">IF(G55=1,0,IF(IFERROR(FIND(".",Raw_Data!F55,FIND("@",Raw_Data!F55)),0)&gt;0,0,1))</f>
        <v>0</v>
      </c>
      <c r="I55" s="68" t="n">
        <f aca="false">IF(TRIM(Raw_Data!G55)="",1,0)</f>
        <v>0</v>
      </c>
      <c r="J55" s="68" t="n">
        <f aca="false">IF(I55=1,0,IF(OR(AND(LEFT(Raw_Data!G55,4)="+91 ",LEN(Raw_Data!G55)=15),AND(LEFT(Raw_Data!G55,7)="+91 11 ",LEN(Raw_Data!G55)=16)),0,1))</f>
        <v>0</v>
      </c>
      <c r="K55" s="68" t="n">
        <f aca="false">IF(TRIM(Raw_Data!I55)="",1,0)</f>
        <v>0</v>
      </c>
      <c r="L55" s="68" t="n">
        <f aca="false">IF(AND(TRIM(Raw_Data!N55)="",ISERROR(SEARCH("not started",Raw_Data!H55))),1,0)</f>
        <v>0</v>
      </c>
      <c r="M55" s="68" t="n">
        <f aca="false">IF(OR(ISTEXT(Raw_Data!J55),ISTEXT(Raw_Data!K55),ISTEXT(Raw_Data!L55)),1,0)</f>
        <v>0</v>
      </c>
      <c r="N55" s="68" t="n">
        <f aca="false">IF(Raw_Data!M55="",1,0)</f>
        <v>0</v>
      </c>
      <c r="O55" s="68" t="n">
        <f aca="false">IF(AND(ISNUMBER(Raw_Data!M55),Raw_Data!M55&lt;0),1,0)</f>
        <v>0</v>
      </c>
      <c r="P55" s="68" t="n">
        <f aca="false">IF(OR(Raw_Data!B55&lt;&gt;TRIM(Raw_Data!B55),Raw_Data!D55&lt;&gt;TRIM(Raw_Data!D55)),1,0)</f>
        <v>0</v>
      </c>
      <c r="Q55" s="68" t="n">
        <f aca="false">IF(AND(TRIM(Raw_Data!A55)&lt;&gt;"",COUNTIF(Raw_Data!$A$2:$A$92,Raw_Data!A55)&gt;1),1,0)</f>
        <v>0</v>
      </c>
      <c r="R55" s="68" t="n">
        <f aca="false">IF(AND(ISNUMBER(SEARCH("not started",Raw_Data!H55)),OR(N(Raw_Data!M55)&gt;0,Raw_Data!K55&lt;&gt;"")),1,0)</f>
        <v>0</v>
      </c>
      <c r="S55" s="68" t="n">
        <f aca="false">IF(AND(ISERROR(SEARCH("not started",Raw_Data!H55)),Raw_Data!K55=""),1,0)</f>
        <v>0</v>
      </c>
      <c r="T55" s="68" t="n">
        <f aca="false">IF(TRIM(Raw_Data!A55)="",1,0)</f>
        <v>0</v>
      </c>
      <c r="U55" s="68" t="n">
        <f aca="false">IF(OR(D55=1,E55=1),0,IF(IFERROR(INDEX(Lists!$F$2:$F$85,MATCH(TRIM(Raw_Data!B55),Lists!$E$2:$E$85,0)),Raw_Data!C55)=Raw_Data!C55,0,1))</f>
        <v>0</v>
      </c>
      <c r="V55" s="68" t="n">
        <f aca="false">IF(SUM(C55:U55)&gt;0,1,0)</f>
        <v>0</v>
      </c>
    </row>
    <row r="56" customFormat="false" ht="15" hidden="false" customHeight="false" outlineLevel="0" collapsed="false">
      <c r="A56" s="66" t="n">
        <f aca="false">ROW()-1</f>
        <v>55</v>
      </c>
      <c r="B56" s="66" t="str">
        <f aca="false">IF(TRIM(Raw_Data!A56)="","(blank)",Raw_Data!A56)</f>
        <v>EMB-055</v>
      </c>
      <c r="C56" s="68" t="n">
        <f aca="false">IF(SUMPRODUCT(--EXACT(Raw_Data!B56,Lists!$E$2:$E$85))=0,1,0)</f>
        <v>0</v>
      </c>
      <c r="D56" s="68" t="n">
        <f aca="false">IF(TRIM(Raw_Data!C56)="",1,0)</f>
        <v>0</v>
      </c>
      <c r="E56" s="68" t="n">
        <f aca="false">IF(AND(TRIM(Raw_Data!C56)&lt;&gt;"",SUMPRODUCT(--EXACT(Raw_Data!C56,Lists!$C$2:$C$7))=0),1,0)</f>
        <v>0</v>
      </c>
      <c r="F56" s="68" t="n">
        <f aca="false">IF(SUMPRODUCT(--EXACT(Raw_Data!H56,Lists!$A$2:$A$8))=0,1,0)</f>
        <v>1</v>
      </c>
      <c r="G56" s="68" t="n">
        <f aca="false">IF(TRIM(Raw_Data!F56)="",1,0)</f>
        <v>0</v>
      </c>
      <c r="H56" s="68" t="n">
        <f aca="false">IF(G56=1,0,IF(IFERROR(FIND(".",Raw_Data!F56,FIND("@",Raw_Data!F56)),0)&gt;0,0,1))</f>
        <v>0</v>
      </c>
      <c r="I56" s="68" t="n">
        <f aca="false">IF(TRIM(Raw_Data!G56)="",1,0)</f>
        <v>0</v>
      </c>
      <c r="J56" s="68" t="n">
        <f aca="false">IF(I56=1,0,IF(OR(AND(LEFT(Raw_Data!G56,4)="+91 ",LEN(Raw_Data!G56)=15),AND(LEFT(Raw_Data!G56,7)="+91 11 ",LEN(Raw_Data!G56)=16)),0,1))</f>
        <v>0</v>
      </c>
      <c r="K56" s="68" t="n">
        <f aca="false">IF(TRIM(Raw_Data!I56)="",1,0)</f>
        <v>0</v>
      </c>
      <c r="L56" s="68" t="n">
        <f aca="false">IF(AND(TRIM(Raw_Data!N56)="",ISERROR(SEARCH("not started",Raw_Data!H56))),1,0)</f>
        <v>0</v>
      </c>
      <c r="M56" s="68" t="n">
        <f aca="false">IF(OR(ISTEXT(Raw_Data!J56),ISTEXT(Raw_Data!K56),ISTEXT(Raw_Data!L56)),1,0)</f>
        <v>0</v>
      </c>
      <c r="N56" s="68" t="n">
        <f aca="false">IF(Raw_Data!M56="",1,0)</f>
        <v>0</v>
      </c>
      <c r="O56" s="68" t="n">
        <f aca="false">IF(AND(ISNUMBER(Raw_Data!M56),Raw_Data!M56&lt;0),1,0)</f>
        <v>0</v>
      </c>
      <c r="P56" s="68" t="n">
        <f aca="false">IF(OR(Raw_Data!B56&lt;&gt;TRIM(Raw_Data!B56),Raw_Data!D56&lt;&gt;TRIM(Raw_Data!D56)),1,0)</f>
        <v>0</v>
      </c>
      <c r="Q56" s="68" t="n">
        <f aca="false">IF(AND(TRIM(Raw_Data!A56)&lt;&gt;"",COUNTIF(Raw_Data!$A$2:$A$92,Raw_Data!A56)&gt;1),1,0)</f>
        <v>0</v>
      </c>
      <c r="R56" s="68" t="n">
        <f aca="false">IF(AND(ISNUMBER(SEARCH("not started",Raw_Data!H56)),OR(N(Raw_Data!M56)&gt;0,Raw_Data!K56&lt;&gt;"")),1,0)</f>
        <v>0</v>
      </c>
      <c r="S56" s="68" t="n">
        <f aca="false">IF(AND(ISERROR(SEARCH("not started",Raw_Data!H56)),Raw_Data!K56=""),1,0)</f>
        <v>0</v>
      </c>
      <c r="T56" s="68" t="n">
        <f aca="false">IF(TRIM(Raw_Data!A56)="",1,0)</f>
        <v>0</v>
      </c>
      <c r="U56" s="68" t="n">
        <f aca="false">IF(OR(D56=1,E56=1),0,IF(IFERROR(INDEX(Lists!$F$2:$F$85,MATCH(TRIM(Raw_Data!B56),Lists!$E$2:$E$85,0)),Raw_Data!C56)=Raw_Data!C56,0,1))</f>
        <v>0</v>
      </c>
      <c r="V56" s="68" t="n">
        <f aca="false">IF(SUM(C56:U56)&gt;0,1,0)</f>
        <v>1</v>
      </c>
    </row>
    <row r="57" customFormat="false" ht="15" hidden="false" customHeight="false" outlineLevel="0" collapsed="false">
      <c r="A57" s="66" t="n">
        <f aca="false">ROW()-1</f>
        <v>56</v>
      </c>
      <c r="B57" s="66" t="str">
        <f aca="false">IF(TRIM(Raw_Data!A57)="","(blank)",Raw_Data!A57)</f>
        <v>EMB-056</v>
      </c>
      <c r="C57" s="68" t="n">
        <f aca="false">IF(SUMPRODUCT(--EXACT(Raw_Data!B57,Lists!$E$2:$E$85))=0,1,0)</f>
        <v>0</v>
      </c>
      <c r="D57" s="68" t="n">
        <f aca="false">IF(TRIM(Raw_Data!C57)="",1,0)</f>
        <v>0</v>
      </c>
      <c r="E57" s="68" t="n">
        <f aca="false">IF(AND(TRIM(Raw_Data!C57)&lt;&gt;"",SUMPRODUCT(--EXACT(Raw_Data!C57,Lists!$C$2:$C$7))=0),1,0)</f>
        <v>0</v>
      </c>
      <c r="F57" s="68" t="n">
        <f aca="false">IF(SUMPRODUCT(--EXACT(Raw_Data!H57,Lists!$A$2:$A$8))=0,1,0)</f>
        <v>1</v>
      </c>
      <c r="G57" s="68" t="n">
        <f aca="false">IF(TRIM(Raw_Data!F57)="",1,0)</f>
        <v>0</v>
      </c>
      <c r="H57" s="68" t="n">
        <f aca="false">IF(G57=1,0,IF(IFERROR(FIND(".",Raw_Data!F57,FIND("@",Raw_Data!F57)),0)&gt;0,0,1))</f>
        <v>0</v>
      </c>
      <c r="I57" s="68" t="n">
        <f aca="false">IF(TRIM(Raw_Data!G57)="",1,0)</f>
        <v>0</v>
      </c>
      <c r="J57" s="68" t="n">
        <f aca="false">IF(I57=1,0,IF(OR(AND(LEFT(Raw_Data!G57,4)="+91 ",LEN(Raw_Data!G57)=15),AND(LEFT(Raw_Data!G57,7)="+91 11 ",LEN(Raw_Data!G57)=16)),0,1))</f>
        <v>0</v>
      </c>
      <c r="K57" s="68" t="n">
        <f aca="false">IF(TRIM(Raw_Data!I57)="",1,0)</f>
        <v>0</v>
      </c>
      <c r="L57" s="68" t="n">
        <f aca="false">IF(AND(TRIM(Raw_Data!N57)="",ISERROR(SEARCH("not started",Raw_Data!H57))),1,0)</f>
        <v>0</v>
      </c>
      <c r="M57" s="68" t="n">
        <f aca="false">IF(OR(ISTEXT(Raw_Data!J57),ISTEXT(Raw_Data!K57),ISTEXT(Raw_Data!L57)),1,0)</f>
        <v>0</v>
      </c>
      <c r="N57" s="68" t="n">
        <f aca="false">IF(Raw_Data!M57="",1,0)</f>
        <v>0</v>
      </c>
      <c r="O57" s="68" t="n">
        <f aca="false">IF(AND(ISNUMBER(Raw_Data!M57),Raw_Data!M57&lt;0),1,0)</f>
        <v>0</v>
      </c>
      <c r="P57" s="68" t="n">
        <f aca="false">IF(OR(Raw_Data!B57&lt;&gt;TRIM(Raw_Data!B57),Raw_Data!D57&lt;&gt;TRIM(Raw_Data!D57)),1,0)</f>
        <v>0</v>
      </c>
      <c r="Q57" s="68" t="n">
        <f aca="false">IF(AND(TRIM(Raw_Data!A57)&lt;&gt;"",COUNTIF(Raw_Data!$A$2:$A$92,Raw_Data!A57)&gt;1),1,0)</f>
        <v>0</v>
      </c>
      <c r="R57" s="68" t="n">
        <f aca="false">IF(AND(ISNUMBER(SEARCH("not started",Raw_Data!H57)),OR(N(Raw_Data!M57)&gt;0,Raw_Data!K57&lt;&gt;"")),1,0)</f>
        <v>0</v>
      </c>
      <c r="S57" s="68" t="n">
        <f aca="false">IF(AND(ISERROR(SEARCH("not started",Raw_Data!H57)),Raw_Data!K57=""),1,0)</f>
        <v>0</v>
      </c>
      <c r="T57" s="68" t="n">
        <f aca="false">IF(TRIM(Raw_Data!A57)="",1,0)</f>
        <v>0</v>
      </c>
      <c r="U57" s="68" t="n">
        <f aca="false">IF(OR(D57=1,E57=1),0,IF(IFERROR(INDEX(Lists!$F$2:$F$85,MATCH(TRIM(Raw_Data!B57),Lists!$E$2:$E$85,0)),Raw_Data!C57)=Raw_Data!C57,0,1))</f>
        <v>0</v>
      </c>
      <c r="V57" s="68" t="n">
        <f aca="false">IF(SUM(C57:U57)&gt;0,1,0)</f>
        <v>1</v>
      </c>
    </row>
    <row r="58" customFormat="false" ht="15" hidden="false" customHeight="false" outlineLevel="0" collapsed="false">
      <c r="A58" s="66" t="n">
        <f aca="false">ROW()-1</f>
        <v>57</v>
      </c>
      <c r="B58" s="66" t="str">
        <f aca="false">IF(TRIM(Raw_Data!A58)="","(blank)",Raw_Data!A58)</f>
        <v>EMB-057</v>
      </c>
      <c r="C58" s="68" t="n">
        <f aca="false">IF(SUMPRODUCT(--EXACT(Raw_Data!B58,Lists!$E$2:$E$85))=0,1,0)</f>
        <v>0</v>
      </c>
      <c r="D58" s="68" t="n">
        <f aca="false">IF(TRIM(Raw_Data!C58)="",1,0)</f>
        <v>0</v>
      </c>
      <c r="E58" s="68" t="n">
        <f aca="false">IF(AND(TRIM(Raw_Data!C58)&lt;&gt;"",SUMPRODUCT(--EXACT(Raw_Data!C58,Lists!$C$2:$C$7))=0),1,0)</f>
        <v>1</v>
      </c>
      <c r="F58" s="68" t="n">
        <f aca="false">IF(SUMPRODUCT(--EXACT(Raw_Data!H58,Lists!$A$2:$A$8))=0,1,0)</f>
        <v>0</v>
      </c>
      <c r="G58" s="68" t="n">
        <f aca="false">IF(TRIM(Raw_Data!F58)="",1,0)</f>
        <v>1</v>
      </c>
      <c r="H58" s="68" t="n">
        <f aca="false">IF(G58=1,0,IF(IFERROR(FIND(".",Raw_Data!F58,FIND("@",Raw_Data!F58)),0)&gt;0,0,1))</f>
        <v>0</v>
      </c>
      <c r="I58" s="68" t="n">
        <f aca="false">IF(TRIM(Raw_Data!G58)="",1,0)</f>
        <v>0</v>
      </c>
      <c r="J58" s="68" t="n">
        <f aca="false">IF(I58=1,0,IF(OR(AND(LEFT(Raw_Data!G58,4)="+91 ",LEN(Raw_Data!G58)=15),AND(LEFT(Raw_Data!G58,7)="+91 11 ",LEN(Raw_Data!G58)=16)),0,1))</f>
        <v>0</v>
      </c>
      <c r="K58" s="68" t="n">
        <f aca="false">IF(TRIM(Raw_Data!I58)="",1,0)</f>
        <v>0</v>
      </c>
      <c r="L58" s="68" t="n">
        <f aca="false">IF(AND(TRIM(Raw_Data!N58)="",ISERROR(SEARCH("not started",Raw_Data!H58))),1,0)</f>
        <v>0</v>
      </c>
      <c r="M58" s="68" t="n">
        <f aca="false">IF(OR(ISTEXT(Raw_Data!J58),ISTEXT(Raw_Data!K58),ISTEXT(Raw_Data!L58)),1,0)</f>
        <v>0</v>
      </c>
      <c r="N58" s="68" t="n">
        <f aca="false">IF(Raw_Data!M58="",1,0)</f>
        <v>0</v>
      </c>
      <c r="O58" s="68" t="n">
        <f aca="false">IF(AND(ISNUMBER(Raw_Data!M58),Raw_Data!M58&lt;0),1,0)</f>
        <v>0</v>
      </c>
      <c r="P58" s="68" t="n">
        <f aca="false">IF(OR(Raw_Data!B58&lt;&gt;TRIM(Raw_Data!B58),Raw_Data!D58&lt;&gt;TRIM(Raw_Data!D58)),1,0)</f>
        <v>0</v>
      </c>
      <c r="Q58" s="68" t="n">
        <f aca="false">IF(AND(TRIM(Raw_Data!A58)&lt;&gt;"",COUNTIF(Raw_Data!$A$2:$A$92,Raw_Data!A58)&gt;1),1,0)</f>
        <v>0</v>
      </c>
      <c r="R58" s="68" t="n">
        <f aca="false">IF(AND(ISNUMBER(SEARCH("not started",Raw_Data!H58)),OR(N(Raw_Data!M58)&gt;0,Raw_Data!K58&lt;&gt;"")),1,0)</f>
        <v>0</v>
      </c>
      <c r="S58" s="68" t="n">
        <f aca="false">IF(AND(ISERROR(SEARCH("not started",Raw_Data!H58)),Raw_Data!K58=""),1,0)</f>
        <v>0</v>
      </c>
      <c r="T58" s="68" t="n">
        <f aca="false">IF(TRIM(Raw_Data!A58)="",1,0)</f>
        <v>0</v>
      </c>
      <c r="U58" s="68" t="n">
        <f aca="false">IF(OR(D58=1,E58=1),0,IF(IFERROR(INDEX(Lists!$F$2:$F$85,MATCH(TRIM(Raw_Data!B58),Lists!$E$2:$E$85,0)),Raw_Data!C58)=Raw_Data!C58,0,1))</f>
        <v>0</v>
      </c>
      <c r="V58" s="68" t="n">
        <f aca="false">IF(SUM(C58:U58)&gt;0,1,0)</f>
        <v>1</v>
      </c>
    </row>
    <row r="59" customFormat="false" ht="15" hidden="false" customHeight="false" outlineLevel="0" collapsed="false">
      <c r="A59" s="66" t="n">
        <f aca="false">ROW()-1</f>
        <v>58</v>
      </c>
      <c r="B59" s="66" t="str">
        <f aca="false">IF(TRIM(Raw_Data!A59)="","(blank)",Raw_Data!A59)</f>
        <v>EMB-058</v>
      </c>
      <c r="C59" s="68" t="n">
        <f aca="false">IF(SUMPRODUCT(--EXACT(Raw_Data!B59,Lists!$E$2:$E$85))=0,1,0)</f>
        <v>0</v>
      </c>
      <c r="D59" s="68" t="n">
        <f aca="false">IF(TRIM(Raw_Data!C59)="",1,0)</f>
        <v>0</v>
      </c>
      <c r="E59" s="68" t="n">
        <f aca="false">IF(AND(TRIM(Raw_Data!C59)&lt;&gt;"",SUMPRODUCT(--EXACT(Raw_Data!C59,Lists!$C$2:$C$7))=0),1,0)</f>
        <v>0</v>
      </c>
      <c r="F59" s="68" t="n">
        <f aca="false">IF(SUMPRODUCT(--EXACT(Raw_Data!H59,Lists!$A$2:$A$8))=0,1,0)</f>
        <v>0</v>
      </c>
      <c r="G59" s="68" t="n">
        <f aca="false">IF(TRIM(Raw_Data!F59)="",1,0)</f>
        <v>0</v>
      </c>
      <c r="H59" s="68" t="n">
        <f aca="false">IF(G59=1,0,IF(IFERROR(FIND(".",Raw_Data!F59,FIND("@",Raw_Data!F59)),0)&gt;0,0,1))</f>
        <v>0</v>
      </c>
      <c r="I59" s="68" t="n">
        <f aca="false">IF(TRIM(Raw_Data!G59)="",1,0)</f>
        <v>0</v>
      </c>
      <c r="J59" s="68" t="n">
        <f aca="false">IF(I59=1,0,IF(OR(AND(LEFT(Raw_Data!G59,4)="+91 ",LEN(Raw_Data!G59)=15),AND(LEFT(Raw_Data!G59,7)="+91 11 ",LEN(Raw_Data!G59)=16)),0,1))</f>
        <v>0</v>
      </c>
      <c r="K59" s="68" t="n">
        <f aca="false">IF(TRIM(Raw_Data!I59)="",1,0)</f>
        <v>0</v>
      </c>
      <c r="L59" s="68" t="n">
        <f aca="false">IF(AND(TRIM(Raw_Data!N59)="",ISERROR(SEARCH("not started",Raw_Data!H59))),1,0)</f>
        <v>0</v>
      </c>
      <c r="M59" s="68" t="n">
        <f aca="false">IF(OR(ISTEXT(Raw_Data!J59),ISTEXT(Raw_Data!K59),ISTEXT(Raw_Data!L59)),1,0)</f>
        <v>0</v>
      </c>
      <c r="N59" s="68" t="n">
        <f aca="false">IF(Raw_Data!M59="",1,0)</f>
        <v>0</v>
      </c>
      <c r="O59" s="68" t="n">
        <f aca="false">IF(AND(ISNUMBER(Raw_Data!M59),Raw_Data!M59&lt;0),1,0)</f>
        <v>0</v>
      </c>
      <c r="P59" s="68" t="n">
        <f aca="false">IF(OR(Raw_Data!B59&lt;&gt;TRIM(Raw_Data!B59),Raw_Data!D59&lt;&gt;TRIM(Raw_Data!D59)),1,0)</f>
        <v>1</v>
      </c>
      <c r="Q59" s="68" t="n">
        <f aca="false">IF(AND(TRIM(Raw_Data!A59)&lt;&gt;"",COUNTIF(Raw_Data!$A$2:$A$92,Raw_Data!A59)&gt;1),1,0)</f>
        <v>0</v>
      </c>
      <c r="R59" s="68" t="n">
        <f aca="false">IF(AND(ISNUMBER(SEARCH("not started",Raw_Data!H59)),OR(N(Raw_Data!M59)&gt;0,Raw_Data!K59&lt;&gt;"")),1,0)</f>
        <v>0</v>
      </c>
      <c r="S59" s="68" t="n">
        <f aca="false">IF(AND(ISERROR(SEARCH("not started",Raw_Data!H59)),Raw_Data!K59=""),1,0)</f>
        <v>0</v>
      </c>
      <c r="T59" s="68" t="n">
        <f aca="false">IF(TRIM(Raw_Data!A59)="",1,0)</f>
        <v>0</v>
      </c>
      <c r="U59" s="68" t="n">
        <f aca="false">IF(OR(D59=1,E59=1),0,IF(IFERROR(INDEX(Lists!$F$2:$F$85,MATCH(TRIM(Raw_Data!B59),Lists!$E$2:$E$85,0)),Raw_Data!C59)=Raw_Data!C59,0,1))</f>
        <v>0</v>
      </c>
      <c r="V59" s="68" t="n">
        <f aca="false">IF(SUM(C59:U59)&gt;0,1,0)</f>
        <v>1</v>
      </c>
    </row>
    <row r="60" customFormat="false" ht="15" hidden="false" customHeight="false" outlineLevel="0" collapsed="false">
      <c r="A60" s="66" t="n">
        <f aca="false">ROW()-1</f>
        <v>59</v>
      </c>
      <c r="B60" s="66" t="str">
        <f aca="false">IF(TRIM(Raw_Data!A60)="","(blank)",Raw_Data!A60)</f>
        <v>EMB-059</v>
      </c>
      <c r="C60" s="68" t="n">
        <f aca="false">IF(SUMPRODUCT(--EXACT(Raw_Data!B60,Lists!$E$2:$E$85))=0,1,0)</f>
        <v>0</v>
      </c>
      <c r="D60" s="68" t="n">
        <f aca="false">IF(TRIM(Raw_Data!C60)="",1,0)</f>
        <v>0</v>
      </c>
      <c r="E60" s="68" t="n">
        <f aca="false">IF(AND(TRIM(Raw_Data!C60)&lt;&gt;"",SUMPRODUCT(--EXACT(Raw_Data!C60,Lists!$C$2:$C$7))=0),1,0)</f>
        <v>0</v>
      </c>
      <c r="F60" s="68" t="n">
        <f aca="false">IF(SUMPRODUCT(--EXACT(Raw_Data!H60,Lists!$A$2:$A$8))=0,1,0)</f>
        <v>0</v>
      </c>
      <c r="G60" s="68" t="n">
        <f aca="false">IF(TRIM(Raw_Data!F60)="",1,0)</f>
        <v>0</v>
      </c>
      <c r="H60" s="68" t="n">
        <f aca="false">IF(G60=1,0,IF(IFERROR(FIND(".",Raw_Data!F60,FIND("@",Raw_Data!F60)),0)&gt;0,0,1))</f>
        <v>0</v>
      </c>
      <c r="I60" s="68" t="n">
        <f aca="false">IF(TRIM(Raw_Data!G60)="",1,0)</f>
        <v>1</v>
      </c>
      <c r="J60" s="68" t="n">
        <f aca="false">IF(I60=1,0,IF(OR(AND(LEFT(Raw_Data!G60,4)="+91 ",LEN(Raw_Data!G60)=15),AND(LEFT(Raw_Data!G60,7)="+91 11 ",LEN(Raw_Data!G60)=16)),0,1))</f>
        <v>0</v>
      </c>
      <c r="K60" s="68" t="n">
        <f aca="false">IF(TRIM(Raw_Data!I60)="",1,0)</f>
        <v>1</v>
      </c>
      <c r="L60" s="68" t="n">
        <f aca="false">IF(AND(TRIM(Raw_Data!N60)="",ISERROR(SEARCH("not started",Raw_Data!H60))),1,0)</f>
        <v>0</v>
      </c>
      <c r="M60" s="68" t="n">
        <f aca="false">IF(OR(ISTEXT(Raw_Data!J60),ISTEXT(Raw_Data!K60),ISTEXT(Raw_Data!L60)),1,0)</f>
        <v>0</v>
      </c>
      <c r="N60" s="68" t="n">
        <f aca="false">IF(Raw_Data!M60="",1,0)</f>
        <v>0</v>
      </c>
      <c r="O60" s="68" t="n">
        <f aca="false">IF(AND(ISNUMBER(Raw_Data!M60),Raw_Data!M60&lt;0),1,0)</f>
        <v>0</v>
      </c>
      <c r="P60" s="68" t="n">
        <f aca="false">IF(OR(Raw_Data!B60&lt;&gt;TRIM(Raw_Data!B60),Raw_Data!D60&lt;&gt;TRIM(Raw_Data!D60)),1,0)</f>
        <v>0</v>
      </c>
      <c r="Q60" s="68" t="n">
        <f aca="false">IF(AND(TRIM(Raw_Data!A60)&lt;&gt;"",COUNTIF(Raw_Data!$A$2:$A$92,Raw_Data!A60)&gt;1),1,0)</f>
        <v>0</v>
      </c>
      <c r="R60" s="68" t="n">
        <f aca="false">IF(AND(ISNUMBER(SEARCH("not started",Raw_Data!H60)),OR(N(Raw_Data!M60)&gt;0,Raw_Data!K60&lt;&gt;"")),1,0)</f>
        <v>0</v>
      </c>
      <c r="S60" s="68" t="n">
        <f aca="false">IF(AND(ISERROR(SEARCH("not started",Raw_Data!H60)),Raw_Data!K60=""),1,0)</f>
        <v>0</v>
      </c>
      <c r="T60" s="68" t="n">
        <f aca="false">IF(TRIM(Raw_Data!A60)="",1,0)</f>
        <v>0</v>
      </c>
      <c r="U60" s="68" t="n">
        <f aca="false">IF(OR(D60=1,E60=1),0,IF(IFERROR(INDEX(Lists!$F$2:$F$85,MATCH(TRIM(Raw_Data!B60),Lists!$E$2:$E$85,0)),Raw_Data!C60)=Raw_Data!C60,0,1))</f>
        <v>0</v>
      </c>
      <c r="V60" s="68" t="n">
        <f aca="false">IF(SUM(C60:U60)&gt;0,1,0)</f>
        <v>1</v>
      </c>
    </row>
    <row r="61" customFormat="false" ht="15" hidden="false" customHeight="false" outlineLevel="0" collapsed="false">
      <c r="A61" s="66" t="n">
        <f aca="false">ROW()-1</f>
        <v>60</v>
      </c>
      <c r="B61" s="66" t="str">
        <f aca="false">IF(TRIM(Raw_Data!A61)="","(blank)",Raw_Data!A61)</f>
        <v>(blank)</v>
      </c>
      <c r="C61" s="68" t="n">
        <f aca="false">IF(SUMPRODUCT(--EXACT(Raw_Data!B61,Lists!$E$2:$E$85))=0,1,0)</f>
        <v>0</v>
      </c>
      <c r="D61" s="68" t="n">
        <f aca="false">IF(TRIM(Raw_Data!C61)="",1,0)</f>
        <v>0</v>
      </c>
      <c r="E61" s="68" t="n">
        <f aca="false">IF(AND(TRIM(Raw_Data!C61)&lt;&gt;"",SUMPRODUCT(--EXACT(Raw_Data!C61,Lists!$C$2:$C$7))=0),1,0)</f>
        <v>0</v>
      </c>
      <c r="F61" s="68" t="n">
        <f aca="false">IF(SUMPRODUCT(--EXACT(Raw_Data!H61,Lists!$A$2:$A$8))=0,1,0)</f>
        <v>0</v>
      </c>
      <c r="G61" s="68" t="n">
        <f aca="false">IF(TRIM(Raw_Data!F61)="",1,0)</f>
        <v>1</v>
      </c>
      <c r="H61" s="68" t="n">
        <f aca="false">IF(G61=1,0,IF(IFERROR(FIND(".",Raw_Data!F61,FIND("@",Raw_Data!F61)),0)&gt;0,0,1))</f>
        <v>0</v>
      </c>
      <c r="I61" s="68" t="n">
        <f aca="false">IF(TRIM(Raw_Data!G61)="",1,0)</f>
        <v>0</v>
      </c>
      <c r="J61" s="68" t="n">
        <f aca="false">IF(I61=1,0,IF(OR(AND(LEFT(Raw_Data!G61,4)="+91 ",LEN(Raw_Data!G61)=15),AND(LEFT(Raw_Data!G61,7)="+91 11 ",LEN(Raw_Data!G61)=16)),0,1))</f>
        <v>0</v>
      </c>
      <c r="K61" s="68" t="n">
        <f aca="false">IF(TRIM(Raw_Data!I61)="",1,0)</f>
        <v>0</v>
      </c>
      <c r="L61" s="68" t="n">
        <f aca="false">IF(AND(TRIM(Raw_Data!N61)="",ISERROR(SEARCH("not started",Raw_Data!H61))),1,0)</f>
        <v>1</v>
      </c>
      <c r="M61" s="68" t="n">
        <f aca="false">IF(OR(ISTEXT(Raw_Data!J61),ISTEXT(Raw_Data!K61),ISTEXT(Raw_Data!L61)),1,0)</f>
        <v>0</v>
      </c>
      <c r="N61" s="68" t="n">
        <f aca="false">IF(Raw_Data!M61="",1,0)</f>
        <v>0</v>
      </c>
      <c r="O61" s="68" t="n">
        <f aca="false">IF(AND(ISNUMBER(Raw_Data!M61),Raw_Data!M61&lt;0),1,0)</f>
        <v>0</v>
      </c>
      <c r="P61" s="68" t="n">
        <f aca="false">IF(OR(Raw_Data!B61&lt;&gt;TRIM(Raw_Data!B61),Raw_Data!D61&lt;&gt;TRIM(Raw_Data!D61)),1,0)</f>
        <v>0</v>
      </c>
      <c r="Q61" s="68" t="n">
        <f aca="false">IF(AND(TRIM(Raw_Data!A61)&lt;&gt;"",COUNTIF(Raw_Data!$A$2:$A$92,Raw_Data!A61)&gt;1),1,0)</f>
        <v>0</v>
      </c>
      <c r="R61" s="68" t="n">
        <f aca="false">IF(AND(ISNUMBER(SEARCH("not started",Raw_Data!H61)),OR(N(Raw_Data!M61)&gt;0,Raw_Data!K61&lt;&gt;"")),1,0)</f>
        <v>0</v>
      </c>
      <c r="S61" s="68" t="n">
        <f aca="false">IF(AND(ISERROR(SEARCH("not started",Raw_Data!H61)),Raw_Data!K61=""),1,0)</f>
        <v>0</v>
      </c>
      <c r="T61" s="68" t="n">
        <f aca="false">IF(TRIM(Raw_Data!A61)="",1,0)</f>
        <v>1</v>
      </c>
      <c r="U61" s="68" t="n">
        <f aca="false">IF(OR(D61=1,E61=1),0,IF(IFERROR(INDEX(Lists!$F$2:$F$85,MATCH(TRIM(Raw_Data!B61),Lists!$E$2:$E$85,0)),Raw_Data!C61)=Raw_Data!C61,0,1))</f>
        <v>0</v>
      </c>
      <c r="V61" s="68" t="n">
        <f aca="false">IF(SUM(C61:U61)&gt;0,1,0)</f>
        <v>1</v>
      </c>
    </row>
    <row r="62" customFormat="false" ht="15" hidden="false" customHeight="false" outlineLevel="0" collapsed="false">
      <c r="A62" s="66" t="n">
        <f aca="false">ROW()-1</f>
        <v>61</v>
      </c>
      <c r="B62" s="66" t="str">
        <f aca="false">IF(TRIM(Raw_Data!A62)="","(blank)",Raw_Data!A62)</f>
        <v>EMB-061</v>
      </c>
      <c r="C62" s="68" t="n">
        <f aca="false">IF(SUMPRODUCT(--EXACT(Raw_Data!B62,Lists!$E$2:$E$85))=0,1,0)</f>
        <v>0</v>
      </c>
      <c r="D62" s="68" t="n">
        <f aca="false">IF(TRIM(Raw_Data!C62)="",1,0)</f>
        <v>0</v>
      </c>
      <c r="E62" s="68" t="n">
        <f aca="false">IF(AND(TRIM(Raw_Data!C62)&lt;&gt;"",SUMPRODUCT(--EXACT(Raw_Data!C62,Lists!$C$2:$C$7))=0),1,0)</f>
        <v>0</v>
      </c>
      <c r="F62" s="68" t="n">
        <f aca="false">IF(SUMPRODUCT(--EXACT(Raw_Data!H62,Lists!$A$2:$A$8))=0,1,0)</f>
        <v>0</v>
      </c>
      <c r="G62" s="68" t="n">
        <f aca="false">IF(TRIM(Raw_Data!F62)="",1,0)</f>
        <v>0</v>
      </c>
      <c r="H62" s="68" t="n">
        <f aca="false">IF(G62=1,0,IF(IFERROR(FIND(".",Raw_Data!F62,FIND("@",Raw_Data!F62)),0)&gt;0,0,1))</f>
        <v>0</v>
      </c>
      <c r="I62" s="68" t="n">
        <f aca="false">IF(TRIM(Raw_Data!G62)="",1,0)</f>
        <v>0</v>
      </c>
      <c r="J62" s="68" t="n">
        <f aca="false">IF(I62=1,0,IF(OR(AND(LEFT(Raw_Data!G62,4)="+91 ",LEN(Raw_Data!G62)=15),AND(LEFT(Raw_Data!G62,7)="+91 11 ",LEN(Raw_Data!G62)=16)),0,1))</f>
        <v>0</v>
      </c>
      <c r="K62" s="68" t="n">
        <f aca="false">IF(TRIM(Raw_Data!I62)="",1,0)</f>
        <v>0</v>
      </c>
      <c r="L62" s="68" t="n">
        <f aca="false">IF(AND(TRIM(Raw_Data!N62)="",ISERROR(SEARCH("not started",Raw_Data!H62))),1,0)</f>
        <v>0</v>
      </c>
      <c r="M62" s="68" t="n">
        <f aca="false">IF(OR(ISTEXT(Raw_Data!J62),ISTEXT(Raw_Data!K62),ISTEXT(Raw_Data!L62)),1,0)</f>
        <v>0</v>
      </c>
      <c r="N62" s="68" t="n">
        <f aca="false">IF(Raw_Data!M62="",1,0)</f>
        <v>0</v>
      </c>
      <c r="O62" s="68" t="n">
        <f aca="false">IF(AND(ISNUMBER(Raw_Data!M62),Raw_Data!M62&lt;0),1,0)</f>
        <v>0</v>
      </c>
      <c r="P62" s="68" t="n">
        <f aca="false">IF(OR(Raw_Data!B62&lt;&gt;TRIM(Raw_Data!B62),Raw_Data!D62&lt;&gt;TRIM(Raw_Data!D62)),1,0)</f>
        <v>0</v>
      </c>
      <c r="Q62" s="68" t="n">
        <f aca="false">IF(AND(TRIM(Raw_Data!A62)&lt;&gt;"",COUNTIF(Raw_Data!$A$2:$A$92,Raw_Data!A62)&gt;1),1,0)</f>
        <v>0</v>
      </c>
      <c r="R62" s="68" t="n">
        <f aca="false">IF(AND(ISNUMBER(SEARCH("not started",Raw_Data!H62)),OR(N(Raw_Data!M62)&gt;0,Raw_Data!K62&lt;&gt;"")),1,0)</f>
        <v>0</v>
      </c>
      <c r="S62" s="68" t="n">
        <f aca="false">IF(AND(ISERROR(SEARCH("not started",Raw_Data!H62)),Raw_Data!K62=""),1,0)</f>
        <v>0</v>
      </c>
      <c r="T62" s="68" t="n">
        <f aca="false">IF(TRIM(Raw_Data!A62)="",1,0)</f>
        <v>0</v>
      </c>
      <c r="U62" s="68" t="n">
        <f aca="false">IF(OR(D62=1,E62=1),0,IF(IFERROR(INDEX(Lists!$F$2:$F$85,MATCH(TRIM(Raw_Data!B62),Lists!$E$2:$E$85,0)),Raw_Data!C62)=Raw_Data!C62,0,1))</f>
        <v>0</v>
      </c>
      <c r="V62" s="68" t="n">
        <f aca="false">IF(SUM(C62:U62)&gt;0,1,0)</f>
        <v>0</v>
      </c>
    </row>
    <row r="63" customFormat="false" ht="15" hidden="false" customHeight="false" outlineLevel="0" collapsed="false">
      <c r="A63" s="66" t="n">
        <f aca="false">ROW()-1</f>
        <v>62</v>
      </c>
      <c r="B63" s="66" t="str">
        <f aca="false">IF(TRIM(Raw_Data!A63)="","(blank)",Raw_Data!A63)</f>
        <v>EMB-062</v>
      </c>
      <c r="C63" s="68" t="n">
        <f aca="false">IF(SUMPRODUCT(--EXACT(Raw_Data!B63,Lists!$E$2:$E$85))=0,1,0)</f>
        <v>0</v>
      </c>
      <c r="D63" s="68" t="n">
        <f aca="false">IF(TRIM(Raw_Data!C63)="",1,0)</f>
        <v>0</v>
      </c>
      <c r="E63" s="68" t="n">
        <f aca="false">IF(AND(TRIM(Raw_Data!C63)&lt;&gt;"",SUMPRODUCT(--EXACT(Raw_Data!C63,Lists!$C$2:$C$7))=0),1,0)</f>
        <v>0</v>
      </c>
      <c r="F63" s="68" t="n">
        <f aca="false">IF(SUMPRODUCT(--EXACT(Raw_Data!H63,Lists!$A$2:$A$8))=0,1,0)</f>
        <v>0</v>
      </c>
      <c r="G63" s="68" t="n">
        <f aca="false">IF(TRIM(Raw_Data!F63)="",1,0)</f>
        <v>0</v>
      </c>
      <c r="H63" s="68" t="n">
        <f aca="false">IF(G63=1,0,IF(IFERROR(FIND(".",Raw_Data!F63,FIND("@",Raw_Data!F63)),0)&gt;0,0,1))</f>
        <v>0</v>
      </c>
      <c r="I63" s="68" t="n">
        <f aca="false">IF(TRIM(Raw_Data!G63)="",1,0)</f>
        <v>0</v>
      </c>
      <c r="J63" s="68" t="n">
        <f aca="false">IF(I63=1,0,IF(OR(AND(LEFT(Raw_Data!G63,4)="+91 ",LEN(Raw_Data!G63)=15),AND(LEFT(Raw_Data!G63,7)="+91 11 ",LEN(Raw_Data!G63)=16)),0,1))</f>
        <v>0</v>
      </c>
      <c r="K63" s="68" t="n">
        <f aca="false">IF(TRIM(Raw_Data!I63)="",1,0)</f>
        <v>0</v>
      </c>
      <c r="L63" s="68" t="n">
        <f aca="false">IF(AND(TRIM(Raw_Data!N63)="",ISERROR(SEARCH("not started",Raw_Data!H63))),1,0)</f>
        <v>0</v>
      </c>
      <c r="M63" s="68" t="n">
        <f aca="false">IF(OR(ISTEXT(Raw_Data!J63),ISTEXT(Raw_Data!K63),ISTEXT(Raw_Data!L63)),1,0)</f>
        <v>0</v>
      </c>
      <c r="N63" s="68" t="n">
        <f aca="false">IF(Raw_Data!M63="",1,0)</f>
        <v>0</v>
      </c>
      <c r="O63" s="68" t="n">
        <f aca="false">IF(AND(ISNUMBER(Raw_Data!M63),Raw_Data!M63&lt;0),1,0)</f>
        <v>0</v>
      </c>
      <c r="P63" s="68" t="n">
        <f aca="false">IF(OR(Raw_Data!B63&lt;&gt;TRIM(Raw_Data!B63),Raw_Data!D63&lt;&gt;TRIM(Raw_Data!D63)),1,0)</f>
        <v>0</v>
      </c>
      <c r="Q63" s="68" t="n">
        <f aca="false">IF(AND(TRIM(Raw_Data!A63)&lt;&gt;"",COUNTIF(Raw_Data!$A$2:$A$92,Raw_Data!A63)&gt;1),1,0)</f>
        <v>0</v>
      </c>
      <c r="R63" s="68" t="n">
        <f aca="false">IF(AND(ISNUMBER(SEARCH("not started",Raw_Data!H63)),OR(N(Raw_Data!M63)&gt;0,Raw_Data!K63&lt;&gt;"")),1,0)</f>
        <v>0</v>
      </c>
      <c r="S63" s="68" t="n">
        <f aca="false">IF(AND(ISERROR(SEARCH("not started",Raw_Data!H63)),Raw_Data!K63=""),1,0)</f>
        <v>0</v>
      </c>
      <c r="T63" s="68" t="n">
        <f aca="false">IF(TRIM(Raw_Data!A63)="",1,0)</f>
        <v>0</v>
      </c>
      <c r="U63" s="68" t="n">
        <f aca="false">IF(OR(D63=1,E63=1),0,IF(IFERROR(INDEX(Lists!$F$2:$F$85,MATCH(TRIM(Raw_Data!B63),Lists!$E$2:$E$85,0)),Raw_Data!C63)=Raw_Data!C63,0,1))</f>
        <v>0</v>
      </c>
      <c r="V63" s="68" t="n">
        <f aca="false">IF(SUM(C63:U63)&gt;0,1,0)</f>
        <v>0</v>
      </c>
    </row>
    <row r="64" customFormat="false" ht="15" hidden="false" customHeight="false" outlineLevel="0" collapsed="false">
      <c r="A64" s="66" t="n">
        <f aca="false">ROW()-1</f>
        <v>63</v>
      </c>
      <c r="B64" s="66" t="str">
        <f aca="false">IF(TRIM(Raw_Data!A64)="","(blank)",Raw_Data!A64)</f>
        <v>(blank)</v>
      </c>
      <c r="C64" s="68" t="n">
        <f aca="false">IF(SUMPRODUCT(--EXACT(Raw_Data!B64,Lists!$E$2:$E$85))=0,1,0)</f>
        <v>1</v>
      </c>
      <c r="D64" s="68" t="n">
        <f aca="false">IF(TRIM(Raw_Data!C64)="",1,0)</f>
        <v>0</v>
      </c>
      <c r="E64" s="68" t="n">
        <f aca="false">IF(AND(TRIM(Raw_Data!C64)&lt;&gt;"",SUMPRODUCT(--EXACT(Raw_Data!C64,Lists!$C$2:$C$7))=0),1,0)</f>
        <v>0</v>
      </c>
      <c r="F64" s="68" t="n">
        <f aca="false">IF(SUMPRODUCT(--EXACT(Raw_Data!H64,Lists!$A$2:$A$8))=0,1,0)</f>
        <v>0</v>
      </c>
      <c r="G64" s="68" t="n">
        <f aca="false">IF(TRIM(Raw_Data!F64)="",1,0)</f>
        <v>0</v>
      </c>
      <c r="H64" s="68" t="n">
        <f aca="false">IF(G64=1,0,IF(IFERROR(FIND(".",Raw_Data!F64,FIND("@",Raw_Data!F64)),0)&gt;0,0,1))</f>
        <v>1</v>
      </c>
      <c r="I64" s="68" t="n">
        <f aca="false">IF(TRIM(Raw_Data!G64)="",1,0)</f>
        <v>1</v>
      </c>
      <c r="J64" s="68" t="n">
        <f aca="false">IF(I64=1,0,IF(OR(AND(LEFT(Raw_Data!G64,4)="+91 ",LEN(Raw_Data!G64)=15),AND(LEFT(Raw_Data!G64,7)="+91 11 ",LEN(Raw_Data!G64)=16)),0,1))</f>
        <v>0</v>
      </c>
      <c r="K64" s="68" t="n">
        <f aca="false">IF(TRIM(Raw_Data!I64)="",1,0)</f>
        <v>1</v>
      </c>
      <c r="L64" s="68" t="n">
        <f aca="false">IF(AND(TRIM(Raw_Data!N64)="",ISERROR(SEARCH("not started",Raw_Data!H64))),1,0)</f>
        <v>0</v>
      </c>
      <c r="M64" s="68" t="n">
        <f aca="false">IF(OR(ISTEXT(Raw_Data!J64),ISTEXT(Raw_Data!K64),ISTEXT(Raw_Data!L64)),1,0)</f>
        <v>0</v>
      </c>
      <c r="N64" s="68" t="n">
        <f aca="false">IF(Raw_Data!M64="",1,0)</f>
        <v>0</v>
      </c>
      <c r="O64" s="68" t="n">
        <f aca="false">IF(AND(ISNUMBER(Raw_Data!M64),Raw_Data!M64&lt;0),1,0)</f>
        <v>0</v>
      </c>
      <c r="P64" s="68" t="n">
        <f aca="false">IF(OR(Raw_Data!B64&lt;&gt;TRIM(Raw_Data!B64),Raw_Data!D64&lt;&gt;TRIM(Raw_Data!D64)),1,0)</f>
        <v>0</v>
      </c>
      <c r="Q64" s="68" t="n">
        <f aca="false">IF(AND(TRIM(Raw_Data!A64)&lt;&gt;"",COUNTIF(Raw_Data!$A$2:$A$92,Raw_Data!A64)&gt;1),1,0)</f>
        <v>0</v>
      </c>
      <c r="R64" s="68" t="n">
        <f aca="false">IF(AND(ISNUMBER(SEARCH("not started",Raw_Data!H64)),OR(N(Raw_Data!M64)&gt;0,Raw_Data!K64&lt;&gt;"")),1,0)</f>
        <v>0</v>
      </c>
      <c r="S64" s="68" t="n">
        <f aca="false">IF(AND(ISERROR(SEARCH("not started",Raw_Data!H64)),Raw_Data!K64=""),1,0)</f>
        <v>0</v>
      </c>
      <c r="T64" s="68" t="n">
        <f aca="false">IF(TRIM(Raw_Data!A64)="",1,0)</f>
        <v>1</v>
      </c>
      <c r="U64" s="68" t="n">
        <f aca="false">IF(OR(D64=1,E64=1),0,IF(IFERROR(INDEX(Lists!$F$2:$F$85,MATCH(TRIM(Raw_Data!B64),Lists!$E$2:$E$85,0)),Raw_Data!C64)=Raw_Data!C64,0,1))</f>
        <v>0</v>
      </c>
      <c r="V64" s="68" t="n">
        <f aca="false">IF(SUM(C64:U64)&gt;0,1,0)</f>
        <v>1</v>
      </c>
    </row>
    <row r="65" customFormat="false" ht="15" hidden="false" customHeight="false" outlineLevel="0" collapsed="false">
      <c r="A65" s="66" t="n">
        <f aca="false">ROW()-1</f>
        <v>64</v>
      </c>
      <c r="B65" s="66" t="str">
        <f aca="false">IF(TRIM(Raw_Data!A65)="","(blank)",Raw_Data!A65)</f>
        <v>EMB-064</v>
      </c>
      <c r="C65" s="68" t="n">
        <f aca="false">IF(SUMPRODUCT(--EXACT(Raw_Data!B65,Lists!$E$2:$E$85))=0,1,0)</f>
        <v>0</v>
      </c>
      <c r="D65" s="68" t="n">
        <f aca="false">IF(TRIM(Raw_Data!C65)="",1,0)</f>
        <v>0</v>
      </c>
      <c r="E65" s="68" t="n">
        <f aca="false">IF(AND(TRIM(Raw_Data!C65)&lt;&gt;"",SUMPRODUCT(--EXACT(Raw_Data!C65,Lists!$C$2:$C$7))=0),1,0)</f>
        <v>1</v>
      </c>
      <c r="F65" s="68" t="n">
        <f aca="false">IF(SUMPRODUCT(--EXACT(Raw_Data!H65,Lists!$A$2:$A$8))=0,1,0)</f>
        <v>0</v>
      </c>
      <c r="G65" s="68" t="n">
        <f aca="false">IF(TRIM(Raw_Data!F65)="",1,0)</f>
        <v>0</v>
      </c>
      <c r="H65" s="68" t="n">
        <f aca="false">IF(G65=1,0,IF(IFERROR(FIND(".",Raw_Data!F65,FIND("@",Raw_Data!F65)),0)&gt;0,0,1))</f>
        <v>1</v>
      </c>
      <c r="I65" s="68" t="n">
        <f aca="false">IF(TRIM(Raw_Data!G65)="",1,0)</f>
        <v>0</v>
      </c>
      <c r="J65" s="68" t="n">
        <f aca="false">IF(I65=1,0,IF(OR(AND(LEFT(Raw_Data!G65,4)="+91 ",LEN(Raw_Data!G65)=15),AND(LEFT(Raw_Data!G65,7)="+91 11 ",LEN(Raw_Data!G65)=16)),0,1))</f>
        <v>0</v>
      </c>
      <c r="K65" s="68" t="n">
        <f aca="false">IF(TRIM(Raw_Data!I65)="",1,0)</f>
        <v>0</v>
      </c>
      <c r="L65" s="68" t="n">
        <f aca="false">IF(AND(TRIM(Raw_Data!N65)="",ISERROR(SEARCH("not started",Raw_Data!H65))),1,0)</f>
        <v>0</v>
      </c>
      <c r="M65" s="68" t="n">
        <f aca="false">IF(OR(ISTEXT(Raw_Data!J65),ISTEXT(Raw_Data!K65),ISTEXT(Raw_Data!L65)),1,0)</f>
        <v>0</v>
      </c>
      <c r="N65" s="68" t="n">
        <f aca="false">IF(Raw_Data!M65="",1,0)</f>
        <v>0</v>
      </c>
      <c r="O65" s="68" t="n">
        <f aca="false">IF(AND(ISNUMBER(Raw_Data!M65),Raw_Data!M65&lt;0),1,0)</f>
        <v>0</v>
      </c>
      <c r="P65" s="68" t="n">
        <f aca="false">IF(OR(Raw_Data!B65&lt;&gt;TRIM(Raw_Data!B65),Raw_Data!D65&lt;&gt;TRIM(Raw_Data!D65)),1,0)</f>
        <v>1</v>
      </c>
      <c r="Q65" s="68" t="n">
        <f aca="false">IF(AND(TRIM(Raw_Data!A65)&lt;&gt;"",COUNTIF(Raw_Data!$A$2:$A$92,Raw_Data!A65)&gt;1),1,0)</f>
        <v>0</v>
      </c>
      <c r="R65" s="68" t="n">
        <f aca="false">IF(AND(ISNUMBER(SEARCH("not started",Raw_Data!H65)),OR(N(Raw_Data!M65)&gt;0,Raw_Data!K65&lt;&gt;"")),1,0)</f>
        <v>0</v>
      </c>
      <c r="S65" s="68" t="n">
        <f aca="false">IF(AND(ISERROR(SEARCH("not started",Raw_Data!H65)),Raw_Data!K65=""),1,0)</f>
        <v>0</v>
      </c>
      <c r="T65" s="68" t="n">
        <f aca="false">IF(TRIM(Raw_Data!A65)="",1,0)</f>
        <v>0</v>
      </c>
      <c r="U65" s="68" t="n">
        <f aca="false">IF(OR(D65=1,E65=1),0,IF(IFERROR(INDEX(Lists!$F$2:$F$85,MATCH(TRIM(Raw_Data!B65),Lists!$E$2:$E$85,0)),Raw_Data!C65)=Raw_Data!C65,0,1))</f>
        <v>0</v>
      </c>
      <c r="V65" s="68" t="n">
        <f aca="false">IF(SUM(C65:U65)&gt;0,1,0)</f>
        <v>1</v>
      </c>
    </row>
    <row r="66" customFormat="false" ht="15" hidden="false" customHeight="false" outlineLevel="0" collapsed="false">
      <c r="A66" s="66" t="n">
        <f aca="false">ROW()-1</f>
        <v>65</v>
      </c>
      <c r="B66" s="66" t="str">
        <f aca="false">IF(TRIM(Raw_Data!A66)="","(blank)",Raw_Data!A66)</f>
        <v>EMB-065</v>
      </c>
      <c r="C66" s="68" t="n">
        <f aca="false">IF(SUMPRODUCT(--EXACT(Raw_Data!B66,Lists!$E$2:$E$85))=0,1,0)</f>
        <v>0</v>
      </c>
      <c r="D66" s="68" t="n">
        <f aca="false">IF(TRIM(Raw_Data!C66)="",1,0)</f>
        <v>0</v>
      </c>
      <c r="E66" s="68" t="n">
        <f aca="false">IF(AND(TRIM(Raw_Data!C66)&lt;&gt;"",SUMPRODUCT(--EXACT(Raw_Data!C66,Lists!$C$2:$C$7))=0),1,0)</f>
        <v>0</v>
      </c>
      <c r="F66" s="68" t="n">
        <f aca="false">IF(SUMPRODUCT(--EXACT(Raw_Data!H66,Lists!$A$2:$A$8))=0,1,0)</f>
        <v>0</v>
      </c>
      <c r="G66" s="68" t="n">
        <f aca="false">IF(TRIM(Raw_Data!F66)="",1,0)</f>
        <v>0</v>
      </c>
      <c r="H66" s="68" t="n">
        <f aca="false">IF(G66=1,0,IF(IFERROR(FIND(".",Raw_Data!F66,FIND("@",Raw_Data!F66)),0)&gt;0,0,1))</f>
        <v>0</v>
      </c>
      <c r="I66" s="68" t="n">
        <f aca="false">IF(TRIM(Raw_Data!G66)="",1,0)</f>
        <v>0</v>
      </c>
      <c r="J66" s="68" t="n">
        <f aca="false">IF(I66=1,0,IF(OR(AND(LEFT(Raw_Data!G66,4)="+91 ",LEN(Raw_Data!G66)=15),AND(LEFT(Raw_Data!G66,7)="+91 11 ",LEN(Raw_Data!G66)=16)),0,1))</f>
        <v>1</v>
      </c>
      <c r="K66" s="68" t="n">
        <f aca="false">IF(TRIM(Raw_Data!I66)="",1,0)</f>
        <v>0</v>
      </c>
      <c r="L66" s="68" t="n">
        <f aca="false">IF(AND(TRIM(Raw_Data!N66)="",ISERROR(SEARCH("not started",Raw_Data!H66))),1,0)</f>
        <v>1</v>
      </c>
      <c r="M66" s="68" t="n">
        <f aca="false">IF(OR(ISTEXT(Raw_Data!J66),ISTEXT(Raw_Data!K66),ISTEXT(Raw_Data!L66)),1,0)</f>
        <v>0</v>
      </c>
      <c r="N66" s="68" t="n">
        <f aca="false">IF(Raw_Data!M66="",1,0)</f>
        <v>0</v>
      </c>
      <c r="O66" s="68" t="n">
        <f aca="false">IF(AND(ISNUMBER(Raw_Data!M66),Raw_Data!M66&lt;0),1,0)</f>
        <v>0</v>
      </c>
      <c r="P66" s="68" t="n">
        <f aca="false">IF(OR(Raw_Data!B66&lt;&gt;TRIM(Raw_Data!B66),Raw_Data!D66&lt;&gt;TRIM(Raw_Data!D66)),1,0)</f>
        <v>0</v>
      </c>
      <c r="Q66" s="68" t="n">
        <f aca="false">IF(AND(TRIM(Raw_Data!A66)&lt;&gt;"",COUNTIF(Raw_Data!$A$2:$A$92,Raw_Data!A66)&gt;1),1,0)</f>
        <v>0</v>
      </c>
      <c r="R66" s="68" t="n">
        <f aca="false">IF(AND(ISNUMBER(SEARCH("not started",Raw_Data!H66)),OR(N(Raw_Data!M66)&gt;0,Raw_Data!K66&lt;&gt;"")),1,0)</f>
        <v>0</v>
      </c>
      <c r="S66" s="68" t="n">
        <f aca="false">IF(AND(ISERROR(SEARCH("not started",Raw_Data!H66)),Raw_Data!K66=""),1,0)</f>
        <v>0</v>
      </c>
      <c r="T66" s="68" t="n">
        <f aca="false">IF(TRIM(Raw_Data!A66)="",1,0)</f>
        <v>0</v>
      </c>
      <c r="U66" s="68" t="n">
        <f aca="false">IF(OR(D66=1,E66=1),0,IF(IFERROR(INDEX(Lists!$F$2:$F$85,MATCH(TRIM(Raw_Data!B66),Lists!$E$2:$E$85,0)),Raw_Data!C66)=Raw_Data!C66,0,1))</f>
        <v>0</v>
      </c>
      <c r="V66" s="68" t="n">
        <f aca="false">IF(SUM(C66:U66)&gt;0,1,0)</f>
        <v>1</v>
      </c>
    </row>
    <row r="67" customFormat="false" ht="15" hidden="false" customHeight="false" outlineLevel="0" collapsed="false">
      <c r="A67" s="66" t="n">
        <f aca="false">ROW()-1</f>
        <v>66</v>
      </c>
      <c r="B67" s="66" t="str">
        <f aca="false">IF(TRIM(Raw_Data!A67)="","(blank)",Raw_Data!A67)</f>
        <v>EMB-066</v>
      </c>
      <c r="C67" s="68" t="n">
        <f aca="false">IF(SUMPRODUCT(--EXACT(Raw_Data!B67,Lists!$E$2:$E$85))=0,1,0)</f>
        <v>0</v>
      </c>
      <c r="D67" s="68" t="n">
        <f aca="false">IF(TRIM(Raw_Data!C67)="",1,0)</f>
        <v>0</v>
      </c>
      <c r="E67" s="68" t="n">
        <f aca="false">IF(AND(TRIM(Raw_Data!C67)&lt;&gt;"",SUMPRODUCT(--EXACT(Raw_Data!C67,Lists!$C$2:$C$7))=0),1,0)</f>
        <v>0</v>
      </c>
      <c r="F67" s="68" t="n">
        <f aca="false">IF(SUMPRODUCT(--EXACT(Raw_Data!H67,Lists!$A$2:$A$8))=0,1,0)</f>
        <v>0</v>
      </c>
      <c r="G67" s="68" t="n">
        <f aca="false">IF(TRIM(Raw_Data!F67)="",1,0)</f>
        <v>0</v>
      </c>
      <c r="H67" s="68" t="n">
        <f aca="false">IF(G67=1,0,IF(IFERROR(FIND(".",Raw_Data!F67,FIND("@",Raw_Data!F67)),0)&gt;0,0,1))</f>
        <v>1</v>
      </c>
      <c r="I67" s="68" t="n">
        <f aca="false">IF(TRIM(Raw_Data!G67)="",1,0)</f>
        <v>0</v>
      </c>
      <c r="J67" s="68" t="n">
        <f aca="false">IF(I67=1,0,IF(OR(AND(LEFT(Raw_Data!G67,4)="+91 ",LEN(Raw_Data!G67)=15),AND(LEFT(Raw_Data!G67,7)="+91 11 ",LEN(Raw_Data!G67)=16)),0,1))</f>
        <v>0</v>
      </c>
      <c r="K67" s="68" t="n">
        <f aca="false">IF(TRIM(Raw_Data!I67)="",1,0)</f>
        <v>0</v>
      </c>
      <c r="L67" s="68" t="n">
        <f aca="false">IF(AND(TRIM(Raw_Data!N67)="",ISERROR(SEARCH("not started",Raw_Data!H67))),1,0)</f>
        <v>0</v>
      </c>
      <c r="M67" s="68" t="n">
        <f aca="false">IF(OR(ISTEXT(Raw_Data!J67),ISTEXT(Raw_Data!K67),ISTEXT(Raw_Data!L67)),1,0)</f>
        <v>0</v>
      </c>
      <c r="N67" s="68" t="n">
        <f aca="false">IF(Raw_Data!M67="",1,0)</f>
        <v>0</v>
      </c>
      <c r="O67" s="68" t="n">
        <f aca="false">IF(AND(ISNUMBER(Raw_Data!M67),Raw_Data!M67&lt;0),1,0)</f>
        <v>0</v>
      </c>
      <c r="P67" s="68" t="n">
        <f aca="false">IF(OR(Raw_Data!B67&lt;&gt;TRIM(Raw_Data!B67),Raw_Data!D67&lt;&gt;TRIM(Raw_Data!D67)),1,0)</f>
        <v>1</v>
      </c>
      <c r="Q67" s="68" t="n">
        <f aca="false">IF(AND(TRIM(Raw_Data!A67)&lt;&gt;"",COUNTIF(Raw_Data!$A$2:$A$92,Raw_Data!A67)&gt;1),1,0)</f>
        <v>1</v>
      </c>
      <c r="R67" s="68" t="n">
        <f aca="false">IF(AND(ISNUMBER(SEARCH("not started",Raw_Data!H67)),OR(N(Raw_Data!M67)&gt;0,Raw_Data!K67&lt;&gt;"")),1,0)</f>
        <v>0</v>
      </c>
      <c r="S67" s="68" t="n">
        <f aca="false">IF(AND(ISERROR(SEARCH("not started",Raw_Data!H67)),Raw_Data!K67=""),1,0)</f>
        <v>1</v>
      </c>
      <c r="T67" s="68" t="n">
        <f aca="false">IF(TRIM(Raw_Data!A67)="",1,0)</f>
        <v>0</v>
      </c>
      <c r="U67" s="68" t="n">
        <f aca="false">IF(OR(D67=1,E67=1),0,IF(IFERROR(INDEX(Lists!$F$2:$F$85,MATCH(TRIM(Raw_Data!B67),Lists!$E$2:$E$85,0)),Raw_Data!C67)=Raw_Data!C67,0,1))</f>
        <v>0</v>
      </c>
      <c r="V67" s="68" t="n">
        <f aca="false">IF(SUM(C67:U67)&gt;0,1,0)</f>
        <v>1</v>
      </c>
    </row>
    <row r="68" customFormat="false" ht="15" hidden="false" customHeight="false" outlineLevel="0" collapsed="false">
      <c r="A68" s="66" t="n">
        <f aca="false">ROW()-1</f>
        <v>67</v>
      </c>
      <c r="B68" s="66" t="str">
        <f aca="false">IF(TRIM(Raw_Data!A68)="","(blank)",Raw_Data!A68)</f>
        <v>EMB-067</v>
      </c>
      <c r="C68" s="68" t="n">
        <f aca="false">IF(SUMPRODUCT(--EXACT(Raw_Data!B68,Lists!$E$2:$E$85))=0,1,0)</f>
        <v>0</v>
      </c>
      <c r="D68" s="68" t="n">
        <f aca="false">IF(TRIM(Raw_Data!C68)="",1,0)</f>
        <v>0</v>
      </c>
      <c r="E68" s="68" t="n">
        <f aca="false">IF(AND(TRIM(Raw_Data!C68)&lt;&gt;"",SUMPRODUCT(--EXACT(Raw_Data!C68,Lists!$C$2:$C$7))=0),1,0)</f>
        <v>0</v>
      </c>
      <c r="F68" s="68" t="n">
        <f aca="false">IF(SUMPRODUCT(--EXACT(Raw_Data!H68,Lists!$A$2:$A$8))=0,1,0)</f>
        <v>1</v>
      </c>
      <c r="G68" s="68" t="n">
        <f aca="false">IF(TRIM(Raw_Data!F68)="",1,0)</f>
        <v>0</v>
      </c>
      <c r="H68" s="68" t="n">
        <f aca="false">IF(G68=1,0,IF(IFERROR(FIND(".",Raw_Data!F68,FIND("@",Raw_Data!F68)),0)&gt;0,0,1))</f>
        <v>1</v>
      </c>
      <c r="I68" s="68" t="n">
        <f aca="false">IF(TRIM(Raw_Data!G68)="",1,0)</f>
        <v>0</v>
      </c>
      <c r="J68" s="68" t="n">
        <f aca="false">IF(I68=1,0,IF(OR(AND(LEFT(Raw_Data!G68,4)="+91 ",LEN(Raw_Data!G68)=15),AND(LEFT(Raw_Data!G68,7)="+91 11 ",LEN(Raw_Data!G68)=16)),0,1))</f>
        <v>0</v>
      </c>
      <c r="K68" s="68" t="n">
        <f aca="false">IF(TRIM(Raw_Data!I68)="",1,0)</f>
        <v>1</v>
      </c>
      <c r="L68" s="68" t="n">
        <f aca="false">IF(AND(TRIM(Raw_Data!N68)="",ISERROR(SEARCH("not started",Raw_Data!H68))),1,0)</f>
        <v>0</v>
      </c>
      <c r="M68" s="68" t="n">
        <f aca="false">IF(OR(ISTEXT(Raw_Data!J68),ISTEXT(Raw_Data!K68),ISTEXT(Raw_Data!L68)),1,0)</f>
        <v>0</v>
      </c>
      <c r="N68" s="68" t="n">
        <f aca="false">IF(Raw_Data!M68="",1,0)</f>
        <v>0</v>
      </c>
      <c r="O68" s="68" t="n">
        <f aca="false">IF(AND(ISNUMBER(Raw_Data!M68),Raw_Data!M68&lt;0),1,0)</f>
        <v>0</v>
      </c>
      <c r="P68" s="68" t="n">
        <f aca="false">IF(OR(Raw_Data!B68&lt;&gt;TRIM(Raw_Data!B68),Raw_Data!D68&lt;&gt;TRIM(Raw_Data!D68)),1,0)</f>
        <v>0</v>
      </c>
      <c r="Q68" s="68" t="n">
        <f aca="false">IF(AND(TRIM(Raw_Data!A68)&lt;&gt;"",COUNTIF(Raw_Data!$A$2:$A$92,Raw_Data!A68)&gt;1),1,0)</f>
        <v>0</v>
      </c>
      <c r="R68" s="68" t="n">
        <f aca="false">IF(AND(ISNUMBER(SEARCH("not started",Raw_Data!H68)),OR(N(Raw_Data!M68)&gt;0,Raw_Data!K68&lt;&gt;"")),1,0)</f>
        <v>0</v>
      </c>
      <c r="S68" s="68" t="n">
        <f aca="false">IF(AND(ISERROR(SEARCH("not started",Raw_Data!H68)),Raw_Data!K68=""),1,0)</f>
        <v>0</v>
      </c>
      <c r="T68" s="68" t="n">
        <f aca="false">IF(TRIM(Raw_Data!A68)="",1,0)</f>
        <v>0</v>
      </c>
      <c r="U68" s="68" t="n">
        <f aca="false">IF(OR(D68=1,E68=1),0,IF(IFERROR(INDEX(Lists!$F$2:$F$85,MATCH(TRIM(Raw_Data!B68),Lists!$E$2:$E$85,0)),Raw_Data!C68)=Raw_Data!C68,0,1))</f>
        <v>0</v>
      </c>
      <c r="V68" s="68" t="n">
        <f aca="false">IF(SUM(C68:U68)&gt;0,1,0)</f>
        <v>1</v>
      </c>
    </row>
    <row r="69" customFormat="false" ht="15" hidden="false" customHeight="false" outlineLevel="0" collapsed="false">
      <c r="A69" s="66" t="n">
        <f aca="false">ROW()-1</f>
        <v>68</v>
      </c>
      <c r="B69" s="66" t="str">
        <f aca="false">IF(TRIM(Raw_Data!A69)="","(blank)",Raw_Data!A69)</f>
        <v>EMB-068</v>
      </c>
      <c r="C69" s="68" t="n">
        <f aca="false">IF(SUMPRODUCT(--EXACT(Raw_Data!B69,Lists!$E$2:$E$85))=0,1,0)</f>
        <v>0</v>
      </c>
      <c r="D69" s="68" t="n">
        <f aca="false">IF(TRIM(Raw_Data!C69)="",1,0)</f>
        <v>0</v>
      </c>
      <c r="E69" s="68" t="n">
        <f aca="false">IF(AND(TRIM(Raw_Data!C69)&lt;&gt;"",SUMPRODUCT(--EXACT(Raw_Data!C69,Lists!$C$2:$C$7))=0),1,0)</f>
        <v>0</v>
      </c>
      <c r="F69" s="68" t="n">
        <f aca="false">IF(SUMPRODUCT(--EXACT(Raw_Data!H69,Lists!$A$2:$A$8))=0,1,0)</f>
        <v>0</v>
      </c>
      <c r="G69" s="68" t="n">
        <f aca="false">IF(TRIM(Raw_Data!F69)="",1,0)</f>
        <v>0</v>
      </c>
      <c r="H69" s="68" t="n">
        <f aca="false">IF(G69=1,0,IF(IFERROR(FIND(".",Raw_Data!F69,FIND("@",Raw_Data!F69)),0)&gt;0,0,1))</f>
        <v>0</v>
      </c>
      <c r="I69" s="68" t="n">
        <f aca="false">IF(TRIM(Raw_Data!G69)="",1,0)</f>
        <v>0</v>
      </c>
      <c r="J69" s="68" t="n">
        <f aca="false">IF(I69=1,0,IF(OR(AND(LEFT(Raw_Data!G69,4)="+91 ",LEN(Raw_Data!G69)=15),AND(LEFT(Raw_Data!G69,7)="+91 11 ",LEN(Raw_Data!G69)=16)),0,1))</f>
        <v>0</v>
      </c>
      <c r="K69" s="68" t="n">
        <f aca="false">IF(TRIM(Raw_Data!I69)="",1,0)</f>
        <v>0</v>
      </c>
      <c r="L69" s="68" t="n">
        <f aca="false">IF(AND(TRIM(Raw_Data!N69)="",ISERROR(SEARCH("not started",Raw_Data!H69))),1,0)</f>
        <v>0</v>
      </c>
      <c r="M69" s="68" t="n">
        <f aca="false">IF(OR(ISTEXT(Raw_Data!J69),ISTEXT(Raw_Data!K69),ISTEXT(Raw_Data!L69)),1,0)</f>
        <v>0</v>
      </c>
      <c r="N69" s="68" t="n">
        <f aca="false">IF(Raw_Data!M69="",1,0)</f>
        <v>1</v>
      </c>
      <c r="O69" s="68" t="n">
        <f aca="false">IF(AND(ISNUMBER(Raw_Data!M69),Raw_Data!M69&lt;0),1,0)</f>
        <v>0</v>
      </c>
      <c r="P69" s="68" t="n">
        <f aca="false">IF(OR(Raw_Data!B69&lt;&gt;TRIM(Raw_Data!B69),Raw_Data!D69&lt;&gt;TRIM(Raw_Data!D69)),1,0)</f>
        <v>0</v>
      </c>
      <c r="Q69" s="68" t="n">
        <f aca="false">IF(AND(TRIM(Raw_Data!A69)&lt;&gt;"",COUNTIF(Raw_Data!$A$2:$A$92,Raw_Data!A69)&gt;1),1,0)</f>
        <v>0</v>
      </c>
      <c r="R69" s="68" t="n">
        <f aca="false">IF(AND(ISNUMBER(SEARCH("not started",Raw_Data!H69)),OR(N(Raw_Data!M69)&gt;0,Raw_Data!K69&lt;&gt;"")),1,0)</f>
        <v>0</v>
      </c>
      <c r="S69" s="68" t="n">
        <f aca="false">IF(AND(ISERROR(SEARCH("not started",Raw_Data!H69)),Raw_Data!K69=""),1,0)</f>
        <v>0</v>
      </c>
      <c r="T69" s="68" t="n">
        <f aca="false">IF(TRIM(Raw_Data!A69)="",1,0)</f>
        <v>0</v>
      </c>
      <c r="U69" s="68" t="n">
        <f aca="false">IF(OR(D69=1,E69=1),0,IF(IFERROR(INDEX(Lists!$F$2:$F$85,MATCH(TRIM(Raw_Data!B69),Lists!$E$2:$E$85,0)),Raw_Data!C69)=Raw_Data!C69,0,1))</f>
        <v>0</v>
      </c>
      <c r="V69" s="68" t="n">
        <f aca="false">IF(SUM(C69:U69)&gt;0,1,0)</f>
        <v>1</v>
      </c>
    </row>
    <row r="70" customFormat="false" ht="15" hidden="false" customHeight="false" outlineLevel="0" collapsed="false">
      <c r="A70" s="66" t="n">
        <f aca="false">ROW()-1</f>
        <v>69</v>
      </c>
      <c r="B70" s="66" t="str">
        <f aca="false">IF(TRIM(Raw_Data!A70)="","(blank)",Raw_Data!A70)</f>
        <v>EMB-069</v>
      </c>
      <c r="C70" s="68" t="n">
        <f aca="false">IF(SUMPRODUCT(--EXACT(Raw_Data!B70,Lists!$E$2:$E$85))=0,1,0)</f>
        <v>0</v>
      </c>
      <c r="D70" s="68" t="n">
        <f aca="false">IF(TRIM(Raw_Data!C70)="",1,0)</f>
        <v>0</v>
      </c>
      <c r="E70" s="68" t="n">
        <f aca="false">IF(AND(TRIM(Raw_Data!C70)&lt;&gt;"",SUMPRODUCT(--EXACT(Raw_Data!C70,Lists!$C$2:$C$7))=0),1,0)</f>
        <v>1</v>
      </c>
      <c r="F70" s="68" t="n">
        <f aca="false">IF(SUMPRODUCT(--EXACT(Raw_Data!H70,Lists!$A$2:$A$8))=0,1,0)</f>
        <v>1</v>
      </c>
      <c r="G70" s="68" t="n">
        <f aca="false">IF(TRIM(Raw_Data!F70)="",1,0)</f>
        <v>1</v>
      </c>
      <c r="H70" s="68" t="n">
        <f aca="false">IF(G70=1,0,IF(IFERROR(FIND(".",Raw_Data!F70,FIND("@",Raw_Data!F70)),0)&gt;0,0,1))</f>
        <v>0</v>
      </c>
      <c r="I70" s="68" t="n">
        <f aca="false">IF(TRIM(Raw_Data!G70)="",1,0)</f>
        <v>0</v>
      </c>
      <c r="J70" s="68" t="n">
        <f aca="false">IF(I70=1,0,IF(OR(AND(LEFT(Raw_Data!G70,4)="+91 ",LEN(Raw_Data!G70)=15),AND(LEFT(Raw_Data!G70,7)="+91 11 ",LEN(Raw_Data!G70)=16)),0,1))</f>
        <v>0</v>
      </c>
      <c r="K70" s="68" t="n">
        <f aca="false">IF(TRIM(Raw_Data!I70)="",1,0)</f>
        <v>0</v>
      </c>
      <c r="L70" s="68" t="n">
        <f aca="false">IF(AND(TRIM(Raw_Data!N70)="",ISERROR(SEARCH("not started",Raw_Data!H70))),1,0)</f>
        <v>0</v>
      </c>
      <c r="M70" s="68" t="n">
        <f aca="false">IF(OR(ISTEXT(Raw_Data!J70),ISTEXT(Raw_Data!K70),ISTEXT(Raw_Data!L70)),1,0)</f>
        <v>0</v>
      </c>
      <c r="N70" s="68" t="n">
        <f aca="false">IF(Raw_Data!M70="",1,0)</f>
        <v>0</v>
      </c>
      <c r="O70" s="68" t="n">
        <f aca="false">IF(AND(ISNUMBER(Raw_Data!M70),Raw_Data!M70&lt;0),1,0)</f>
        <v>0</v>
      </c>
      <c r="P70" s="68" t="n">
        <f aca="false">IF(OR(Raw_Data!B70&lt;&gt;TRIM(Raw_Data!B70),Raw_Data!D70&lt;&gt;TRIM(Raw_Data!D70)),1,0)</f>
        <v>0</v>
      </c>
      <c r="Q70" s="68" t="n">
        <f aca="false">IF(AND(TRIM(Raw_Data!A70)&lt;&gt;"",COUNTIF(Raw_Data!$A$2:$A$92,Raw_Data!A70)&gt;1),1,0)</f>
        <v>0</v>
      </c>
      <c r="R70" s="68" t="n">
        <f aca="false">IF(AND(ISNUMBER(SEARCH("not started",Raw_Data!H70)),OR(N(Raw_Data!M70)&gt;0,Raw_Data!K70&lt;&gt;"")),1,0)</f>
        <v>0</v>
      </c>
      <c r="S70" s="68" t="n">
        <f aca="false">IF(AND(ISERROR(SEARCH("not started",Raw_Data!H70)),Raw_Data!K70=""),1,0)</f>
        <v>0</v>
      </c>
      <c r="T70" s="68" t="n">
        <f aca="false">IF(TRIM(Raw_Data!A70)="",1,0)</f>
        <v>0</v>
      </c>
      <c r="U70" s="68" t="n">
        <f aca="false">IF(OR(D70=1,E70=1),0,IF(IFERROR(INDEX(Lists!$F$2:$F$85,MATCH(TRIM(Raw_Data!B70),Lists!$E$2:$E$85,0)),Raw_Data!C70)=Raw_Data!C70,0,1))</f>
        <v>0</v>
      </c>
      <c r="V70" s="68" t="n">
        <f aca="false">IF(SUM(C70:U70)&gt;0,1,0)</f>
        <v>1</v>
      </c>
    </row>
    <row r="71" customFormat="false" ht="15" hidden="false" customHeight="false" outlineLevel="0" collapsed="false">
      <c r="A71" s="66" t="n">
        <f aca="false">ROW()-1</f>
        <v>70</v>
      </c>
      <c r="B71" s="66" t="str">
        <f aca="false">IF(TRIM(Raw_Data!A71)="","(blank)",Raw_Data!A71)</f>
        <v>EMB-070</v>
      </c>
      <c r="C71" s="68" t="n">
        <f aca="false">IF(SUMPRODUCT(--EXACT(Raw_Data!B71,Lists!$E$2:$E$85))=0,1,0)</f>
        <v>0</v>
      </c>
      <c r="D71" s="68" t="n">
        <f aca="false">IF(TRIM(Raw_Data!C71)="",1,0)</f>
        <v>0</v>
      </c>
      <c r="E71" s="68" t="n">
        <f aca="false">IF(AND(TRIM(Raw_Data!C71)&lt;&gt;"",SUMPRODUCT(--EXACT(Raw_Data!C71,Lists!$C$2:$C$7))=0),1,0)</f>
        <v>0</v>
      </c>
      <c r="F71" s="68" t="n">
        <f aca="false">IF(SUMPRODUCT(--EXACT(Raw_Data!H71,Lists!$A$2:$A$8))=0,1,0)</f>
        <v>0</v>
      </c>
      <c r="G71" s="68" t="n">
        <f aca="false">IF(TRIM(Raw_Data!F71)="",1,0)</f>
        <v>0</v>
      </c>
      <c r="H71" s="68" t="n">
        <f aca="false">IF(G71=1,0,IF(IFERROR(FIND(".",Raw_Data!F71,FIND("@",Raw_Data!F71)),0)&gt;0,0,1))</f>
        <v>0</v>
      </c>
      <c r="I71" s="68" t="n">
        <f aca="false">IF(TRIM(Raw_Data!G71)="",1,0)</f>
        <v>0</v>
      </c>
      <c r="J71" s="68" t="n">
        <f aca="false">IF(I71=1,0,IF(OR(AND(LEFT(Raw_Data!G71,4)="+91 ",LEN(Raw_Data!G71)=15),AND(LEFT(Raw_Data!G71,7)="+91 11 ",LEN(Raw_Data!G71)=16)),0,1))</f>
        <v>1</v>
      </c>
      <c r="K71" s="68" t="n">
        <f aca="false">IF(TRIM(Raw_Data!I71)="",1,0)</f>
        <v>0</v>
      </c>
      <c r="L71" s="68" t="n">
        <f aca="false">IF(AND(TRIM(Raw_Data!N71)="",ISERROR(SEARCH("not started",Raw_Data!H71))),1,0)</f>
        <v>0</v>
      </c>
      <c r="M71" s="68" t="n">
        <f aca="false">IF(OR(ISTEXT(Raw_Data!J71),ISTEXT(Raw_Data!K71),ISTEXT(Raw_Data!L71)),1,0)</f>
        <v>0</v>
      </c>
      <c r="N71" s="68" t="n">
        <f aca="false">IF(Raw_Data!M71="",1,0)</f>
        <v>0</v>
      </c>
      <c r="O71" s="68" t="n">
        <f aca="false">IF(AND(ISNUMBER(Raw_Data!M71),Raw_Data!M71&lt;0),1,0)</f>
        <v>1</v>
      </c>
      <c r="P71" s="68" t="n">
        <f aca="false">IF(OR(Raw_Data!B71&lt;&gt;TRIM(Raw_Data!B71),Raw_Data!D71&lt;&gt;TRIM(Raw_Data!D71)),1,0)</f>
        <v>0</v>
      </c>
      <c r="Q71" s="68" t="n">
        <f aca="false">IF(AND(TRIM(Raw_Data!A71)&lt;&gt;"",COUNTIF(Raw_Data!$A$2:$A$92,Raw_Data!A71)&gt;1),1,0)</f>
        <v>0</v>
      </c>
      <c r="R71" s="68" t="n">
        <f aca="false">IF(AND(ISNUMBER(SEARCH("not started",Raw_Data!H71)),OR(N(Raw_Data!M71)&gt;0,Raw_Data!K71&lt;&gt;"")),1,0)</f>
        <v>0</v>
      </c>
      <c r="S71" s="68" t="n">
        <f aca="false">IF(AND(ISERROR(SEARCH("not started",Raw_Data!H71)),Raw_Data!K71=""),1,0)</f>
        <v>0</v>
      </c>
      <c r="T71" s="68" t="n">
        <f aca="false">IF(TRIM(Raw_Data!A71)="",1,0)</f>
        <v>0</v>
      </c>
      <c r="U71" s="68" t="n">
        <f aca="false">IF(OR(D71=1,E71=1),0,IF(IFERROR(INDEX(Lists!$F$2:$F$85,MATCH(TRIM(Raw_Data!B71),Lists!$E$2:$E$85,0)),Raw_Data!C71)=Raw_Data!C71,0,1))</f>
        <v>0</v>
      </c>
      <c r="V71" s="68" t="n">
        <f aca="false">IF(SUM(C71:U71)&gt;0,1,0)</f>
        <v>1</v>
      </c>
    </row>
    <row r="72" customFormat="false" ht="15" hidden="false" customHeight="false" outlineLevel="0" collapsed="false">
      <c r="A72" s="66" t="n">
        <f aca="false">ROW()-1</f>
        <v>71</v>
      </c>
      <c r="B72" s="66" t="str">
        <f aca="false">IF(TRIM(Raw_Data!A72)="","(blank)",Raw_Data!A72)</f>
        <v>EMB-071</v>
      </c>
      <c r="C72" s="68" t="n">
        <f aca="false">IF(SUMPRODUCT(--EXACT(Raw_Data!B72,Lists!$E$2:$E$85))=0,1,0)</f>
        <v>0</v>
      </c>
      <c r="D72" s="68" t="n">
        <f aca="false">IF(TRIM(Raw_Data!C72)="",1,0)</f>
        <v>1</v>
      </c>
      <c r="E72" s="68" t="n">
        <f aca="false">IF(AND(TRIM(Raw_Data!C72)&lt;&gt;"",SUMPRODUCT(--EXACT(Raw_Data!C72,Lists!$C$2:$C$7))=0),1,0)</f>
        <v>0</v>
      </c>
      <c r="F72" s="68" t="n">
        <f aca="false">IF(SUMPRODUCT(--EXACT(Raw_Data!H72,Lists!$A$2:$A$8))=0,1,0)</f>
        <v>0</v>
      </c>
      <c r="G72" s="68" t="n">
        <f aca="false">IF(TRIM(Raw_Data!F72)="",1,0)</f>
        <v>0</v>
      </c>
      <c r="H72" s="68" t="n">
        <f aca="false">IF(G72=1,0,IF(IFERROR(FIND(".",Raw_Data!F72,FIND("@",Raw_Data!F72)),0)&gt;0,0,1))</f>
        <v>0</v>
      </c>
      <c r="I72" s="68" t="n">
        <f aca="false">IF(TRIM(Raw_Data!G72)="",1,0)</f>
        <v>0</v>
      </c>
      <c r="J72" s="68" t="n">
        <f aca="false">IF(I72=1,0,IF(OR(AND(LEFT(Raw_Data!G72,4)="+91 ",LEN(Raw_Data!G72)=15),AND(LEFT(Raw_Data!G72,7)="+91 11 ",LEN(Raw_Data!G72)=16)),0,1))</f>
        <v>0</v>
      </c>
      <c r="K72" s="68" t="n">
        <f aca="false">IF(TRIM(Raw_Data!I72)="",1,0)</f>
        <v>0</v>
      </c>
      <c r="L72" s="68" t="n">
        <f aca="false">IF(AND(TRIM(Raw_Data!N72)="",ISERROR(SEARCH("not started",Raw_Data!H72))),1,0)</f>
        <v>0</v>
      </c>
      <c r="M72" s="68" t="n">
        <f aca="false">IF(OR(ISTEXT(Raw_Data!J72),ISTEXT(Raw_Data!K72),ISTEXT(Raw_Data!L72)),1,0)</f>
        <v>1</v>
      </c>
      <c r="N72" s="68" t="n">
        <f aca="false">IF(Raw_Data!M72="",1,0)</f>
        <v>0</v>
      </c>
      <c r="O72" s="68" t="n">
        <f aca="false">IF(AND(ISNUMBER(Raw_Data!M72),Raw_Data!M72&lt;0),1,0)</f>
        <v>0</v>
      </c>
      <c r="P72" s="68" t="n">
        <f aca="false">IF(OR(Raw_Data!B72&lt;&gt;TRIM(Raw_Data!B72),Raw_Data!D72&lt;&gt;TRIM(Raw_Data!D72)),1,0)</f>
        <v>0</v>
      </c>
      <c r="Q72" s="68" t="n">
        <f aca="false">IF(AND(TRIM(Raw_Data!A72)&lt;&gt;"",COUNTIF(Raw_Data!$A$2:$A$92,Raw_Data!A72)&gt;1),1,0)</f>
        <v>0</v>
      </c>
      <c r="R72" s="68" t="n">
        <f aca="false">IF(AND(ISNUMBER(SEARCH("not started",Raw_Data!H72)),OR(N(Raw_Data!M72)&gt;0,Raw_Data!K72&lt;&gt;"")),1,0)</f>
        <v>0</v>
      </c>
      <c r="S72" s="68" t="n">
        <f aca="false">IF(AND(ISERROR(SEARCH("not started",Raw_Data!H72)),Raw_Data!K72=""),1,0)</f>
        <v>0</v>
      </c>
      <c r="T72" s="68" t="n">
        <f aca="false">IF(TRIM(Raw_Data!A72)="",1,0)</f>
        <v>0</v>
      </c>
      <c r="U72" s="68" t="n">
        <f aca="false">IF(OR(D72=1,E72=1),0,IF(IFERROR(INDEX(Lists!$F$2:$F$85,MATCH(TRIM(Raw_Data!B72),Lists!$E$2:$E$85,0)),Raw_Data!C72)=Raw_Data!C72,0,1))</f>
        <v>0</v>
      </c>
      <c r="V72" s="68" t="n">
        <f aca="false">IF(SUM(C72:U72)&gt;0,1,0)</f>
        <v>1</v>
      </c>
    </row>
    <row r="73" customFormat="false" ht="15" hidden="false" customHeight="false" outlineLevel="0" collapsed="false">
      <c r="A73" s="66" t="n">
        <f aca="false">ROW()-1</f>
        <v>72</v>
      </c>
      <c r="B73" s="66" t="str">
        <f aca="false">IF(TRIM(Raw_Data!A73)="","(blank)",Raw_Data!A73)</f>
        <v>EMB-072</v>
      </c>
      <c r="C73" s="68" t="n">
        <f aca="false">IF(SUMPRODUCT(--EXACT(Raw_Data!B73,Lists!$E$2:$E$85))=0,1,0)</f>
        <v>0</v>
      </c>
      <c r="D73" s="68" t="n">
        <f aca="false">IF(TRIM(Raw_Data!C73)="",1,0)</f>
        <v>0</v>
      </c>
      <c r="E73" s="68" t="n">
        <f aca="false">IF(AND(TRIM(Raw_Data!C73)&lt;&gt;"",SUMPRODUCT(--EXACT(Raw_Data!C73,Lists!$C$2:$C$7))=0),1,0)</f>
        <v>0</v>
      </c>
      <c r="F73" s="68" t="n">
        <f aca="false">IF(SUMPRODUCT(--EXACT(Raw_Data!H73,Lists!$A$2:$A$8))=0,1,0)</f>
        <v>0</v>
      </c>
      <c r="G73" s="68" t="n">
        <f aca="false">IF(TRIM(Raw_Data!F73)="",1,0)</f>
        <v>0</v>
      </c>
      <c r="H73" s="68" t="n">
        <f aca="false">IF(G73=1,0,IF(IFERROR(FIND(".",Raw_Data!F73,FIND("@",Raw_Data!F73)),0)&gt;0,0,1))</f>
        <v>0</v>
      </c>
      <c r="I73" s="68" t="n">
        <f aca="false">IF(TRIM(Raw_Data!G73)="",1,0)</f>
        <v>0</v>
      </c>
      <c r="J73" s="68" t="n">
        <f aca="false">IF(I73=1,0,IF(OR(AND(LEFT(Raw_Data!G73,4)="+91 ",LEN(Raw_Data!G73)=15),AND(LEFT(Raw_Data!G73,7)="+91 11 ",LEN(Raw_Data!G73)=16)),0,1))</f>
        <v>0</v>
      </c>
      <c r="K73" s="68" t="n">
        <f aca="false">IF(TRIM(Raw_Data!I73)="",1,0)</f>
        <v>0</v>
      </c>
      <c r="L73" s="68" t="n">
        <f aca="false">IF(AND(TRIM(Raw_Data!N73)="",ISERROR(SEARCH("not started",Raw_Data!H73))),1,0)</f>
        <v>0</v>
      </c>
      <c r="M73" s="68" t="n">
        <f aca="false">IF(OR(ISTEXT(Raw_Data!J73),ISTEXT(Raw_Data!K73),ISTEXT(Raw_Data!L73)),1,0)</f>
        <v>0</v>
      </c>
      <c r="N73" s="68" t="n">
        <f aca="false">IF(Raw_Data!M73="",1,0)</f>
        <v>0</v>
      </c>
      <c r="O73" s="68" t="n">
        <f aca="false">IF(AND(ISNUMBER(Raw_Data!M73),Raw_Data!M73&lt;0),1,0)</f>
        <v>0</v>
      </c>
      <c r="P73" s="68" t="n">
        <f aca="false">IF(OR(Raw_Data!B73&lt;&gt;TRIM(Raw_Data!B73),Raw_Data!D73&lt;&gt;TRIM(Raw_Data!D73)),1,0)</f>
        <v>0</v>
      </c>
      <c r="Q73" s="68" t="n">
        <f aca="false">IF(AND(TRIM(Raw_Data!A73)&lt;&gt;"",COUNTIF(Raw_Data!$A$2:$A$92,Raw_Data!A73)&gt;1),1,0)</f>
        <v>0</v>
      </c>
      <c r="R73" s="68" t="n">
        <f aca="false">IF(AND(ISNUMBER(SEARCH("not started",Raw_Data!H73)),OR(N(Raw_Data!M73)&gt;0,Raw_Data!K73&lt;&gt;"")),1,0)</f>
        <v>0</v>
      </c>
      <c r="S73" s="68" t="n">
        <f aca="false">IF(AND(ISERROR(SEARCH("not started",Raw_Data!H73)),Raw_Data!K73=""),1,0)</f>
        <v>0</v>
      </c>
      <c r="T73" s="68" t="n">
        <f aca="false">IF(TRIM(Raw_Data!A73)="",1,0)</f>
        <v>0</v>
      </c>
      <c r="U73" s="68" t="n">
        <f aca="false">IF(OR(D73=1,E73=1),0,IF(IFERROR(INDEX(Lists!$F$2:$F$85,MATCH(TRIM(Raw_Data!B73),Lists!$E$2:$E$85,0)),Raw_Data!C73)=Raw_Data!C73,0,1))</f>
        <v>0</v>
      </c>
      <c r="V73" s="68" t="n">
        <f aca="false">IF(SUM(C73:U73)&gt;0,1,0)</f>
        <v>0</v>
      </c>
    </row>
    <row r="74" customFormat="false" ht="15" hidden="false" customHeight="false" outlineLevel="0" collapsed="false">
      <c r="A74" s="66" t="n">
        <f aca="false">ROW()-1</f>
        <v>73</v>
      </c>
      <c r="B74" s="66" t="str">
        <f aca="false">IF(TRIM(Raw_Data!A74)="","(blank)",Raw_Data!A74)</f>
        <v>EMB-073</v>
      </c>
      <c r="C74" s="68" t="n">
        <f aca="false">IF(SUMPRODUCT(--EXACT(Raw_Data!B74,Lists!$E$2:$E$85))=0,1,0)</f>
        <v>0</v>
      </c>
      <c r="D74" s="68" t="n">
        <f aca="false">IF(TRIM(Raw_Data!C74)="",1,0)</f>
        <v>0</v>
      </c>
      <c r="E74" s="68" t="n">
        <f aca="false">IF(AND(TRIM(Raw_Data!C74)&lt;&gt;"",SUMPRODUCT(--EXACT(Raw_Data!C74,Lists!$C$2:$C$7))=0),1,0)</f>
        <v>0</v>
      </c>
      <c r="F74" s="68" t="n">
        <f aca="false">IF(SUMPRODUCT(--EXACT(Raw_Data!H74,Lists!$A$2:$A$8))=0,1,0)</f>
        <v>0</v>
      </c>
      <c r="G74" s="68" t="n">
        <f aca="false">IF(TRIM(Raw_Data!F74)="",1,0)</f>
        <v>0</v>
      </c>
      <c r="H74" s="68" t="n">
        <f aca="false">IF(G74=1,0,IF(IFERROR(FIND(".",Raw_Data!F74,FIND("@",Raw_Data!F74)),0)&gt;0,0,1))</f>
        <v>0</v>
      </c>
      <c r="I74" s="68" t="n">
        <f aca="false">IF(TRIM(Raw_Data!G74)="",1,0)</f>
        <v>0</v>
      </c>
      <c r="J74" s="68" t="n">
        <f aca="false">IF(I74=1,0,IF(OR(AND(LEFT(Raw_Data!G74,4)="+91 ",LEN(Raw_Data!G74)=15),AND(LEFT(Raw_Data!G74,7)="+91 11 ",LEN(Raw_Data!G74)=16)),0,1))</f>
        <v>0</v>
      </c>
      <c r="K74" s="68" t="n">
        <f aca="false">IF(TRIM(Raw_Data!I74)="",1,0)</f>
        <v>0</v>
      </c>
      <c r="L74" s="68" t="n">
        <f aca="false">IF(AND(TRIM(Raw_Data!N74)="",ISERROR(SEARCH("not started",Raw_Data!H74))),1,0)</f>
        <v>0</v>
      </c>
      <c r="M74" s="68" t="n">
        <f aca="false">IF(OR(ISTEXT(Raw_Data!J74),ISTEXT(Raw_Data!K74),ISTEXT(Raw_Data!L74)),1,0)</f>
        <v>0</v>
      </c>
      <c r="N74" s="68" t="n">
        <f aca="false">IF(Raw_Data!M74="",1,0)</f>
        <v>0</v>
      </c>
      <c r="O74" s="68" t="n">
        <f aca="false">IF(AND(ISNUMBER(Raw_Data!M74),Raw_Data!M74&lt;0),1,0)</f>
        <v>0</v>
      </c>
      <c r="P74" s="68" t="n">
        <f aca="false">IF(OR(Raw_Data!B74&lt;&gt;TRIM(Raw_Data!B74),Raw_Data!D74&lt;&gt;TRIM(Raw_Data!D74)),1,0)</f>
        <v>0</v>
      </c>
      <c r="Q74" s="68" t="n">
        <f aca="false">IF(AND(TRIM(Raw_Data!A74)&lt;&gt;"",COUNTIF(Raw_Data!$A$2:$A$92,Raw_Data!A74)&gt;1),1,0)</f>
        <v>0</v>
      </c>
      <c r="R74" s="68" t="n">
        <f aca="false">IF(AND(ISNUMBER(SEARCH("not started",Raw_Data!H74)),OR(N(Raw_Data!M74)&gt;0,Raw_Data!K74&lt;&gt;"")),1,0)</f>
        <v>0</v>
      </c>
      <c r="S74" s="68" t="n">
        <f aca="false">IF(AND(ISERROR(SEARCH("not started",Raw_Data!H74)),Raw_Data!K74=""),1,0)</f>
        <v>0</v>
      </c>
      <c r="T74" s="68" t="n">
        <f aca="false">IF(TRIM(Raw_Data!A74)="",1,0)</f>
        <v>0</v>
      </c>
      <c r="U74" s="68" t="n">
        <f aca="false">IF(OR(D74=1,E74=1),0,IF(IFERROR(INDEX(Lists!$F$2:$F$85,MATCH(TRIM(Raw_Data!B74),Lists!$E$2:$E$85,0)),Raw_Data!C74)=Raw_Data!C74,0,1))</f>
        <v>0</v>
      </c>
      <c r="V74" s="68" t="n">
        <f aca="false">IF(SUM(C74:U74)&gt;0,1,0)</f>
        <v>0</v>
      </c>
    </row>
    <row r="75" customFormat="false" ht="15" hidden="false" customHeight="false" outlineLevel="0" collapsed="false">
      <c r="A75" s="66" t="n">
        <f aca="false">ROW()-1</f>
        <v>74</v>
      </c>
      <c r="B75" s="66" t="str">
        <f aca="false">IF(TRIM(Raw_Data!A75)="","(blank)",Raw_Data!A75)</f>
        <v>EMB-074</v>
      </c>
      <c r="C75" s="68" t="n">
        <f aca="false">IF(SUMPRODUCT(--EXACT(Raw_Data!B75,Lists!$E$2:$E$85))=0,1,0)</f>
        <v>0</v>
      </c>
      <c r="D75" s="68" t="n">
        <f aca="false">IF(TRIM(Raw_Data!C75)="",1,0)</f>
        <v>0</v>
      </c>
      <c r="E75" s="68" t="n">
        <f aca="false">IF(AND(TRIM(Raw_Data!C75)&lt;&gt;"",SUMPRODUCT(--EXACT(Raw_Data!C75,Lists!$C$2:$C$7))=0),1,0)</f>
        <v>0</v>
      </c>
      <c r="F75" s="68" t="n">
        <f aca="false">IF(SUMPRODUCT(--EXACT(Raw_Data!H75,Lists!$A$2:$A$8))=0,1,0)</f>
        <v>0</v>
      </c>
      <c r="G75" s="68" t="n">
        <f aca="false">IF(TRIM(Raw_Data!F75)="",1,0)</f>
        <v>0</v>
      </c>
      <c r="H75" s="68" t="n">
        <f aca="false">IF(G75=1,0,IF(IFERROR(FIND(".",Raw_Data!F75,FIND("@",Raw_Data!F75)),0)&gt;0,0,1))</f>
        <v>0</v>
      </c>
      <c r="I75" s="68" t="n">
        <f aca="false">IF(TRIM(Raw_Data!G75)="",1,0)</f>
        <v>1</v>
      </c>
      <c r="J75" s="68" t="n">
        <f aca="false">IF(I75=1,0,IF(OR(AND(LEFT(Raw_Data!G75,4)="+91 ",LEN(Raw_Data!G75)=15),AND(LEFT(Raw_Data!G75,7)="+91 11 ",LEN(Raw_Data!G75)=16)),0,1))</f>
        <v>0</v>
      </c>
      <c r="K75" s="68" t="n">
        <f aca="false">IF(TRIM(Raw_Data!I75)="",1,0)</f>
        <v>0</v>
      </c>
      <c r="L75" s="68" t="n">
        <f aca="false">IF(AND(TRIM(Raw_Data!N75)="",ISERROR(SEARCH("not started",Raw_Data!H75))),1,0)</f>
        <v>0</v>
      </c>
      <c r="M75" s="68" t="n">
        <f aca="false">IF(OR(ISTEXT(Raw_Data!J75),ISTEXT(Raw_Data!K75),ISTEXT(Raw_Data!L75)),1,0)</f>
        <v>0</v>
      </c>
      <c r="N75" s="68" t="n">
        <f aca="false">IF(Raw_Data!M75="",1,0)</f>
        <v>0</v>
      </c>
      <c r="O75" s="68" t="n">
        <f aca="false">IF(AND(ISNUMBER(Raw_Data!M75),Raw_Data!M75&lt;0),1,0)</f>
        <v>0</v>
      </c>
      <c r="P75" s="68" t="n">
        <f aca="false">IF(OR(Raw_Data!B75&lt;&gt;TRIM(Raw_Data!B75),Raw_Data!D75&lt;&gt;TRIM(Raw_Data!D75)),1,0)</f>
        <v>0</v>
      </c>
      <c r="Q75" s="68" t="n">
        <f aca="false">IF(AND(TRIM(Raw_Data!A75)&lt;&gt;"",COUNTIF(Raw_Data!$A$2:$A$92,Raw_Data!A75)&gt;1),1,0)</f>
        <v>0</v>
      </c>
      <c r="R75" s="68" t="n">
        <f aca="false">IF(AND(ISNUMBER(SEARCH("not started",Raw_Data!H75)),OR(N(Raw_Data!M75)&gt;0,Raw_Data!K75&lt;&gt;"")),1,0)</f>
        <v>1</v>
      </c>
      <c r="S75" s="68" t="n">
        <f aca="false">IF(AND(ISERROR(SEARCH("not started",Raw_Data!H75)),Raw_Data!K75=""),1,0)</f>
        <v>0</v>
      </c>
      <c r="T75" s="68" t="n">
        <f aca="false">IF(TRIM(Raw_Data!A75)="",1,0)</f>
        <v>0</v>
      </c>
      <c r="U75" s="68" t="n">
        <f aca="false">IF(OR(D75=1,E75=1),0,IF(IFERROR(INDEX(Lists!$F$2:$F$85,MATCH(TRIM(Raw_Data!B75),Lists!$E$2:$E$85,0)),Raw_Data!C75)=Raw_Data!C75,0,1))</f>
        <v>0</v>
      </c>
      <c r="V75" s="68" t="n">
        <f aca="false">IF(SUM(C75:U75)&gt;0,1,0)</f>
        <v>1</v>
      </c>
    </row>
    <row r="76" customFormat="false" ht="15" hidden="false" customHeight="false" outlineLevel="0" collapsed="false">
      <c r="A76" s="66" t="n">
        <f aca="false">ROW()-1</f>
        <v>75</v>
      </c>
      <c r="B76" s="66" t="str">
        <f aca="false">IF(TRIM(Raw_Data!A76)="","(blank)",Raw_Data!A76)</f>
        <v>EMB-075</v>
      </c>
      <c r="C76" s="68" t="n">
        <f aca="false">IF(SUMPRODUCT(--EXACT(Raw_Data!B76,Lists!$E$2:$E$85))=0,1,0)</f>
        <v>0</v>
      </c>
      <c r="D76" s="68" t="n">
        <f aca="false">IF(TRIM(Raw_Data!C76)="",1,0)</f>
        <v>0</v>
      </c>
      <c r="E76" s="68" t="n">
        <f aca="false">IF(AND(TRIM(Raw_Data!C76)&lt;&gt;"",SUMPRODUCT(--EXACT(Raw_Data!C76,Lists!$C$2:$C$7))=0),1,0)</f>
        <v>0</v>
      </c>
      <c r="F76" s="68" t="n">
        <f aca="false">IF(SUMPRODUCT(--EXACT(Raw_Data!H76,Lists!$A$2:$A$8))=0,1,0)</f>
        <v>0</v>
      </c>
      <c r="G76" s="68" t="n">
        <f aca="false">IF(TRIM(Raw_Data!F76)="",1,0)</f>
        <v>0</v>
      </c>
      <c r="H76" s="68" t="n">
        <f aca="false">IF(G76=1,0,IF(IFERROR(FIND(".",Raw_Data!F76,FIND("@",Raw_Data!F76)),0)&gt;0,0,1))</f>
        <v>0</v>
      </c>
      <c r="I76" s="68" t="n">
        <f aca="false">IF(TRIM(Raw_Data!G76)="",1,0)</f>
        <v>0</v>
      </c>
      <c r="J76" s="68" t="n">
        <f aca="false">IF(I76=1,0,IF(OR(AND(LEFT(Raw_Data!G76,4)="+91 ",LEN(Raw_Data!G76)=15),AND(LEFT(Raw_Data!G76,7)="+91 11 ",LEN(Raw_Data!G76)=16)),0,1))</f>
        <v>0</v>
      </c>
      <c r="K76" s="68" t="n">
        <f aca="false">IF(TRIM(Raw_Data!I76)="",1,0)</f>
        <v>0</v>
      </c>
      <c r="L76" s="68" t="n">
        <f aca="false">IF(AND(TRIM(Raw_Data!N76)="",ISERROR(SEARCH("not started",Raw_Data!H76))),1,0)</f>
        <v>0</v>
      </c>
      <c r="M76" s="68" t="n">
        <f aca="false">IF(OR(ISTEXT(Raw_Data!J76),ISTEXT(Raw_Data!K76),ISTEXT(Raw_Data!L76)),1,0)</f>
        <v>0</v>
      </c>
      <c r="N76" s="68" t="n">
        <f aca="false">IF(Raw_Data!M76="",1,0)</f>
        <v>0</v>
      </c>
      <c r="O76" s="68" t="n">
        <f aca="false">IF(AND(ISNUMBER(Raw_Data!M76),Raw_Data!M76&lt;0),1,0)</f>
        <v>0</v>
      </c>
      <c r="P76" s="68" t="n">
        <f aca="false">IF(OR(Raw_Data!B76&lt;&gt;TRIM(Raw_Data!B76),Raw_Data!D76&lt;&gt;TRIM(Raw_Data!D76)),1,0)</f>
        <v>0</v>
      </c>
      <c r="Q76" s="68" t="n">
        <f aca="false">IF(AND(TRIM(Raw_Data!A76)&lt;&gt;"",COUNTIF(Raw_Data!$A$2:$A$92,Raw_Data!A76)&gt;1),1,0)</f>
        <v>0</v>
      </c>
      <c r="R76" s="68" t="n">
        <f aca="false">IF(AND(ISNUMBER(SEARCH("not started",Raw_Data!H76)),OR(N(Raw_Data!M76)&gt;0,Raw_Data!K76&lt;&gt;"")),1,0)</f>
        <v>0</v>
      </c>
      <c r="S76" s="68" t="n">
        <f aca="false">IF(AND(ISERROR(SEARCH("not started",Raw_Data!H76)),Raw_Data!K76=""),1,0)</f>
        <v>0</v>
      </c>
      <c r="T76" s="68" t="n">
        <f aca="false">IF(TRIM(Raw_Data!A76)="",1,0)</f>
        <v>0</v>
      </c>
      <c r="U76" s="68" t="n">
        <f aca="false">IF(OR(D76=1,E76=1),0,IF(IFERROR(INDEX(Lists!$F$2:$F$85,MATCH(TRIM(Raw_Data!B76),Lists!$E$2:$E$85,0)),Raw_Data!C76)=Raw_Data!C76,0,1))</f>
        <v>0</v>
      </c>
      <c r="V76" s="68" t="n">
        <f aca="false">IF(SUM(C76:U76)&gt;0,1,0)</f>
        <v>0</v>
      </c>
    </row>
    <row r="77" customFormat="false" ht="15" hidden="false" customHeight="false" outlineLevel="0" collapsed="false">
      <c r="A77" s="66" t="n">
        <f aca="false">ROW()-1</f>
        <v>76</v>
      </c>
      <c r="B77" s="66" t="str">
        <f aca="false">IF(TRIM(Raw_Data!A77)="","(blank)",Raw_Data!A77)</f>
        <v>EMB-076</v>
      </c>
      <c r="C77" s="68" t="n">
        <f aca="false">IF(SUMPRODUCT(--EXACT(Raw_Data!B77,Lists!$E$2:$E$85))=0,1,0)</f>
        <v>0</v>
      </c>
      <c r="D77" s="68" t="n">
        <f aca="false">IF(TRIM(Raw_Data!C77)="",1,0)</f>
        <v>0</v>
      </c>
      <c r="E77" s="68" t="n">
        <f aca="false">IF(AND(TRIM(Raw_Data!C77)&lt;&gt;"",SUMPRODUCT(--EXACT(Raw_Data!C77,Lists!$C$2:$C$7))=0),1,0)</f>
        <v>0</v>
      </c>
      <c r="F77" s="68" t="n">
        <f aca="false">IF(SUMPRODUCT(--EXACT(Raw_Data!H77,Lists!$A$2:$A$8))=0,1,0)</f>
        <v>0</v>
      </c>
      <c r="G77" s="68" t="n">
        <f aca="false">IF(TRIM(Raw_Data!F77)="",1,0)</f>
        <v>0</v>
      </c>
      <c r="H77" s="68" t="n">
        <f aca="false">IF(G77=1,0,IF(IFERROR(FIND(".",Raw_Data!F77,FIND("@",Raw_Data!F77)),0)&gt;0,0,1))</f>
        <v>0</v>
      </c>
      <c r="I77" s="68" t="n">
        <f aca="false">IF(TRIM(Raw_Data!G77)="",1,0)</f>
        <v>1</v>
      </c>
      <c r="J77" s="68" t="n">
        <f aca="false">IF(I77=1,0,IF(OR(AND(LEFT(Raw_Data!G77,4)="+91 ",LEN(Raw_Data!G77)=15),AND(LEFT(Raw_Data!G77,7)="+91 11 ",LEN(Raw_Data!G77)=16)),0,1))</f>
        <v>0</v>
      </c>
      <c r="K77" s="68" t="n">
        <f aca="false">IF(TRIM(Raw_Data!I77)="",1,0)</f>
        <v>0</v>
      </c>
      <c r="L77" s="68" t="n">
        <f aca="false">IF(AND(TRIM(Raw_Data!N77)="",ISERROR(SEARCH("not started",Raw_Data!H77))),1,0)</f>
        <v>1</v>
      </c>
      <c r="M77" s="68" t="n">
        <f aca="false">IF(OR(ISTEXT(Raw_Data!J77),ISTEXT(Raw_Data!K77),ISTEXT(Raw_Data!L77)),1,0)</f>
        <v>0</v>
      </c>
      <c r="N77" s="68" t="n">
        <f aca="false">IF(Raw_Data!M77="",1,0)</f>
        <v>0</v>
      </c>
      <c r="O77" s="68" t="n">
        <f aca="false">IF(AND(ISNUMBER(Raw_Data!M77),Raw_Data!M77&lt;0),1,0)</f>
        <v>0</v>
      </c>
      <c r="P77" s="68" t="n">
        <f aca="false">IF(OR(Raw_Data!B77&lt;&gt;TRIM(Raw_Data!B77),Raw_Data!D77&lt;&gt;TRIM(Raw_Data!D77)),1,0)</f>
        <v>0</v>
      </c>
      <c r="Q77" s="68" t="n">
        <f aca="false">IF(AND(TRIM(Raw_Data!A77)&lt;&gt;"",COUNTIF(Raw_Data!$A$2:$A$92,Raw_Data!A77)&gt;1),1,0)</f>
        <v>0</v>
      </c>
      <c r="R77" s="68" t="n">
        <f aca="false">IF(AND(ISNUMBER(SEARCH("not started",Raw_Data!H77)),OR(N(Raw_Data!M77)&gt;0,Raw_Data!K77&lt;&gt;"")),1,0)</f>
        <v>0</v>
      </c>
      <c r="S77" s="68" t="n">
        <f aca="false">IF(AND(ISERROR(SEARCH("not started",Raw_Data!H77)),Raw_Data!K77=""),1,0)</f>
        <v>0</v>
      </c>
      <c r="T77" s="68" t="n">
        <f aca="false">IF(TRIM(Raw_Data!A77)="",1,0)</f>
        <v>0</v>
      </c>
      <c r="U77" s="68" t="n">
        <f aca="false">IF(OR(D77=1,E77=1),0,IF(IFERROR(INDEX(Lists!$F$2:$F$85,MATCH(TRIM(Raw_Data!B77),Lists!$E$2:$E$85,0)),Raw_Data!C77)=Raw_Data!C77,0,1))</f>
        <v>0</v>
      </c>
      <c r="V77" s="68" t="n">
        <f aca="false">IF(SUM(C77:U77)&gt;0,1,0)</f>
        <v>1</v>
      </c>
    </row>
    <row r="78" customFormat="false" ht="15" hidden="false" customHeight="false" outlineLevel="0" collapsed="false">
      <c r="A78" s="66" t="n">
        <f aca="false">ROW()-1</f>
        <v>77</v>
      </c>
      <c r="B78" s="66" t="str">
        <f aca="false">IF(TRIM(Raw_Data!A78)="","(blank)",Raw_Data!A78)</f>
        <v>EMB-077</v>
      </c>
      <c r="C78" s="68" t="n">
        <f aca="false">IF(SUMPRODUCT(--EXACT(Raw_Data!B78,Lists!$E$2:$E$85))=0,1,0)</f>
        <v>0</v>
      </c>
      <c r="D78" s="68" t="n">
        <f aca="false">IF(TRIM(Raw_Data!C78)="",1,0)</f>
        <v>0</v>
      </c>
      <c r="E78" s="68" t="n">
        <f aca="false">IF(AND(TRIM(Raw_Data!C78)&lt;&gt;"",SUMPRODUCT(--EXACT(Raw_Data!C78,Lists!$C$2:$C$7))=0),1,0)</f>
        <v>0</v>
      </c>
      <c r="F78" s="68" t="n">
        <f aca="false">IF(SUMPRODUCT(--EXACT(Raw_Data!H78,Lists!$A$2:$A$8))=0,1,0)</f>
        <v>0</v>
      </c>
      <c r="G78" s="68" t="n">
        <f aca="false">IF(TRIM(Raw_Data!F78)="",1,0)</f>
        <v>0</v>
      </c>
      <c r="H78" s="68" t="n">
        <f aca="false">IF(G78=1,0,IF(IFERROR(FIND(".",Raw_Data!F78,FIND("@",Raw_Data!F78)),0)&gt;0,0,1))</f>
        <v>0</v>
      </c>
      <c r="I78" s="68" t="n">
        <f aca="false">IF(TRIM(Raw_Data!G78)="",1,0)</f>
        <v>1</v>
      </c>
      <c r="J78" s="68" t="n">
        <f aca="false">IF(I78=1,0,IF(OR(AND(LEFT(Raw_Data!G78,4)="+91 ",LEN(Raw_Data!G78)=15),AND(LEFT(Raw_Data!G78,7)="+91 11 ",LEN(Raw_Data!G78)=16)),0,1))</f>
        <v>0</v>
      </c>
      <c r="K78" s="68" t="n">
        <f aca="false">IF(TRIM(Raw_Data!I78)="",1,0)</f>
        <v>0</v>
      </c>
      <c r="L78" s="68" t="n">
        <f aca="false">IF(AND(TRIM(Raw_Data!N78)="",ISERROR(SEARCH("not started",Raw_Data!H78))),1,0)</f>
        <v>0</v>
      </c>
      <c r="M78" s="68" t="n">
        <f aca="false">IF(OR(ISTEXT(Raw_Data!J78),ISTEXT(Raw_Data!K78),ISTEXT(Raw_Data!L78)),1,0)</f>
        <v>0</v>
      </c>
      <c r="N78" s="68" t="n">
        <f aca="false">IF(Raw_Data!M78="",1,0)</f>
        <v>1</v>
      </c>
      <c r="O78" s="68" t="n">
        <f aca="false">IF(AND(ISNUMBER(Raw_Data!M78),Raw_Data!M78&lt;0),1,0)</f>
        <v>0</v>
      </c>
      <c r="P78" s="68" t="n">
        <f aca="false">IF(OR(Raw_Data!B78&lt;&gt;TRIM(Raw_Data!B78),Raw_Data!D78&lt;&gt;TRIM(Raw_Data!D78)),1,0)</f>
        <v>0</v>
      </c>
      <c r="Q78" s="68" t="n">
        <f aca="false">IF(AND(TRIM(Raw_Data!A78)&lt;&gt;"",COUNTIF(Raw_Data!$A$2:$A$92,Raw_Data!A78)&gt;1),1,0)</f>
        <v>0</v>
      </c>
      <c r="R78" s="68" t="n">
        <f aca="false">IF(AND(ISNUMBER(SEARCH("not started",Raw_Data!H78)),OR(N(Raw_Data!M78)&gt;0,Raw_Data!K78&lt;&gt;"")),1,0)</f>
        <v>0</v>
      </c>
      <c r="S78" s="68" t="n">
        <f aca="false">IF(AND(ISERROR(SEARCH("not started",Raw_Data!H78)),Raw_Data!K78=""),1,0)</f>
        <v>0</v>
      </c>
      <c r="T78" s="68" t="n">
        <f aca="false">IF(TRIM(Raw_Data!A78)="",1,0)</f>
        <v>0</v>
      </c>
      <c r="U78" s="68" t="n">
        <f aca="false">IF(OR(D78=1,E78=1),0,IF(IFERROR(INDEX(Lists!$F$2:$F$85,MATCH(TRIM(Raw_Data!B78),Lists!$E$2:$E$85,0)),Raw_Data!C78)=Raw_Data!C78,0,1))</f>
        <v>0</v>
      </c>
      <c r="V78" s="68" t="n">
        <f aca="false">IF(SUM(C78:U78)&gt;0,1,0)</f>
        <v>1</v>
      </c>
    </row>
    <row r="79" customFormat="false" ht="15" hidden="false" customHeight="false" outlineLevel="0" collapsed="false">
      <c r="A79" s="66" t="n">
        <f aca="false">ROW()-1</f>
        <v>78</v>
      </c>
      <c r="B79" s="66" t="str">
        <f aca="false">IF(TRIM(Raw_Data!A79)="","(blank)",Raw_Data!A79)</f>
        <v>EMB-078</v>
      </c>
      <c r="C79" s="68" t="n">
        <f aca="false">IF(SUMPRODUCT(--EXACT(Raw_Data!B79,Lists!$E$2:$E$85))=0,1,0)</f>
        <v>0</v>
      </c>
      <c r="D79" s="68" t="n">
        <f aca="false">IF(TRIM(Raw_Data!C79)="",1,0)</f>
        <v>0</v>
      </c>
      <c r="E79" s="68" t="n">
        <f aca="false">IF(AND(TRIM(Raw_Data!C79)&lt;&gt;"",SUMPRODUCT(--EXACT(Raw_Data!C79,Lists!$C$2:$C$7))=0),1,0)</f>
        <v>0</v>
      </c>
      <c r="F79" s="68" t="n">
        <f aca="false">IF(SUMPRODUCT(--EXACT(Raw_Data!H79,Lists!$A$2:$A$8))=0,1,0)</f>
        <v>0</v>
      </c>
      <c r="G79" s="68" t="n">
        <f aca="false">IF(TRIM(Raw_Data!F79)="",1,0)</f>
        <v>0</v>
      </c>
      <c r="H79" s="68" t="n">
        <f aca="false">IF(G79=1,0,IF(IFERROR(FIND(".",Raw_Data!F79,FIND("@",Raw_Data!F79)),0)&gt;0,0,1))</f>
        <v>0</v>
      </c>
      <c r="I79" s="68" t="n">
        <f aca="false">IF(TRIM(Raw_Data!G79)="",1,0)</f>
        <v>0</v>
      </c>
      <c r="J79" s="68" t="n">
        <f aca="false">IF(I79=1,0,IF(OR(AND(LEFT(Raw_Data!G79,4)="+91 ",LEN(Raw_Data!G79)=15),AND(LEFT(Raw_Data!G79,7)="+91 11 ",LEN(Raw_Data!G79)=16)),0,1))</f>
        <v>0</v>
      </c>
      <c r="K79" s="68" t="n">
        <f aca="false">IF(TRIM(Raw_Data!I79)="",1,0)</f>
        <v>0</v>
      </c>
      <c r="L79" s="68" t="n">
        <f aca="false">IF(AND(TRIM(Raw_Data!N79)="",ISERROR(SEARCH("not started",Raw_Data!H79))),1,0)</f>
        <v>0</v>
      </c>
      <c r="M79" s="68" t="n">
        <f aca="false">IF(OR(ISTEXT(Raw_Data!J79),ISTEXT(Raw_Data!K79),ISTEXT(Raw_Data!L79)),1,0)</f>
        <v>0</v>
      </c>
      <c r="N79" s="68" t="n">
        <f aca="false">IF(Raw_Data!M79="",1,0)</f>
        <v>0</v>
      </c>
      <c r="O79" s="68" t="n">
        <f aca="false">IF(AND(ISNUMBER(Raw_Data!M79),Raw_Data!M79&lt;0),1,0)</f>
        <v>0</v>
      </c>
      <c r="P79" s="68" t="n">
        <f aca="false">IF(OR(Raw_Data!B79&lt;&gt;TRIM(Raw_Data!B79),Raw_Data!D79&lt;&gt;TRIM(Raw_Data!D79)),1,0)</f>
        <v>0</v>
      </c>
      <c r="Q79" s="68" t="n">
        <f aca="false">IF(AND(TRIM(Raw_Data!A79)&lt;&gt;"",COUNTIF(Raw_Data!$A$2:$A$92,Raw_Data!A79)&gt;1),1,0)</f>
        <v>0</v>
      </c>
      <c r="R79" s="68" t="n">
        <f aca="false">IF(AND(ISNUMBER(SEARCH("not started",Raw_Data!H79)),OR(N(Raw_Data!M79)&gt;0,Raw_Data!K79&lt;&gt;"")),1,0)</f>
        <v>0</v>
      </c>
      <c r="S79" s="68" t="n">
        <f aca="false">IF(AND(ISERROR(SEARCH("not started",Raw_Data!H79)),Raw_Data!K79=""),1,0)</f>
        <v>0</v>
      </c>
      <c r="T79" s="68" t="n">
        <f aca="false">IF(TRIM(Raw_Data!A79)="",1,0)</f>
        <v>0</v>
      </c>
      <c r="U79" s="68" t="n">
        <f aca="false">IF(OR(D79=1,E79=1),0,IF(IFERROR(INDEX(Lists!$F$2:$F$85,MATCH(TRIM(Raw_Data!B79),Lists!$E$2:$E$85,0)),Raw_Data!C79)=Raw_Data!C79,0,1))</f>
        <v>0</v>
      </c>
      <c r="V79" s="68" t="n">
        <f aca="false">IF(SUM(C79:U79)&gt;0,1,0)</f>
        <v>0</v>
      </c>
    </row>
    <row r="80" customFormat="false" ht="15" hidden="false" customHeight="false" outlineLevel="0" collapsed="false">
      <c r="A80" s="66" t="n">
        <f aca="false">ROW()-1</f>
        <v>79</v>
      </c>
      <c r="B80" s="66" t="str">
        <f aca="false">IF(TRIM(Raw_Data!A80)="","(blank)",Raw_Data!A80)</f>
        <v>EMB-079</v>
      </c>
      <c r="C80" s="68" t="n">
        <f aca="false">IF(SUMPRODUCT(--EXACT(Raw_Data!B80,Lists!$E$2:$E$85))=0,1,0)</f>
        <v>0</v>
      </c>
      <c r="D80" s="68" t="n">
        <f aca="false">IF(TRIM(Raw_Data!C80)="",1,0)</f>
        <v>0</v>
      </c>
      <c r="E80" s="68" t="n">
        <f aca="false">IF(AND(TRIM(Raw_Data!C80)&lt;&gt;"",SUMPRODUCT(--EXACT(Raw_Data!C80,Lists!$C$2:$C$7))=0),1,0)</f>
        <v>0</v>
      </c>
      <c r="F80" s="68" t="n">
        <f aca="false">IF(SUMPRODUCT(--EXACT(Raw_Data!H80,Lists!$A$2:$A$8))=0,1,0)</f>
        <v>0</v>
      </c>
      <c r="G80" s="68" t="n">
        <f aca="false">IF(TRIM(Raw_Data!F80)="",1,0)</f>
        <v>1</v>
      </c>
      <c r="H80" s="68" t="n">
        <f aca="false">IF(G80=1,0,IF(IFERROR(FIND(".",Raw_Data!F80,FIND("@",Raw_Data!F80)),0)&gt;0,0,1))</f>
        <v>0</v>
      </c>
      <c r="I80" s="68" t="n">
        <f aca="false">IF(TRIM(Raw_Data!G80)="",1,0)</f>
        <v>0</v>
      </c>
      <c r="J80" s="68" t="n">
        <f aca="false">IF(I80=1,0,IF(OR(AND(LEFT(Raw_Data!G80,4)="+91 ",LEN(Raw_Data!G80)=15),AND(LEFT(Raw_Data!G80,7)="+91 11 ",LEN(Raw_Data!G80)=16)),0,1))</f>
        <v>0</v>
      </c>
      <c r="K80" s="68" t="n">
        <f aca="false">IF(TRIM(Raw_Data!I80)="",1,0)</f>
        <v>0</v>
      </c>
      <c r="L80" s="68" t="n">
        <f aca="false">IF(AND(TRIM(Raw_Data!N80)="",ISERROR(SEARCH("not started",Raw_Data!H80))),1,0)</f>
        <v>0</v>
      </c>
      <c r="M80" s="68" t="n">
        <f aca="false">IF(OR(ISTEXT(Raw_Data!J80),ISTEXT(Raw_Data!K80),ISTEXT(Raw_Data!L80)),1,0)</f>
        <v>1</v>
      </c>
      <c r="N80" s="68" t="n">
        <f aca="false">IF(Raw_Data!M80="",1,0)</f>
        <v>0</v>
      </c>
      <c r="O80" s="68" t="n">
        <f aca="false">IF(AND(ISNUMBER(Raw_Data!M80),Raw_Data!M80&lt;0),1,0)</f>
        <v>0</v>
      </c>
      <c r="P80" s="68" t="n">
        <f aca="false">IF(OR(Raw_Data!B80&lt;&gt;TRIM(Raw_Data!B80),Raw_Data!D80&lt;&gt;TRIM(Raw_Data!D80)),1,0)</f>
        <v>0</v>
      </c>
      <c r="Q80" s="68" t="n">
        <f aca="false">IF(AND(TRIM(Raw_Data!A80)&lt;&gt;"",COUNTIF(Raw_Data!$A$2:$A$92,Raw_Data!A80)&gt;1),1,0)</f>
        <v>0</v>
      </c>
      <c r="R80" s="68" t="n">
        <f aca="false">IF(AND(ISNUMBER(SEARCH("not started",Raw_Data!H80)),OR(N(Raw_Data!M80)&gt;0,Raw_Data!K80&lt;&gt;"")),1,0)</f>
        <v>0</v>
      </c>
      <c r="S80" s="68" t="n">
        <f aca="false">IF(AND(ISERROR(SEARCH("not started",Raw_Data!H80)),Raw_Data!K80=""),1,0)</f>
        <v>0</v>
      </c>
      <c r="T80" s="68" t="n">
        <f aca="false">IF(TRIM(Raw_Data!A80)="",1,0)</f>
        <v>0</v>
      </c>
      <c r="U80" s="68" t="n">
        <f aca="false">IF(OR(D80=1,E80=1),0,IF(IFERROR(INDEX(Lists!$F$2:$F$85,MATCH(TRIM(Raw_Data!B80),Lists!$E$2:$E$85,0)),Raw_Data!C80)=Raw_Data!C80,0,1))</f>
        <v>0</v>
      </c>
      <c r="V80" s="68" t="n">
        <f aca="false">IF(SUM(C80:U80)&gt;0,1,0)</f>
        <v>1</v>
      </c>
    </row>
    <row r="81" customFormat="false" ht="15" hidden="false" customHeight="false" outlineLevel="0" collapsed="false">
      <c r="A81" s="66" t="n">
        <f aca="false">ROW()-1</f>
        <v>80</v>
      </c>
      <c r="B81" s="66" t="str">
        <f aca="false">IF(TRIM(Raw_Data!A81)="","(blank)",Raw_Data!A81)</f>
        <v>EMB-080</v>
      </c>
      <c r="C81" s="68" t="n">
        <f aca="false">IF(SUMPRODUCT(--EXACT(Raw_Data!B81,Lists!$E$2:$E$85))=0,1,0)</f>
        <v>0</v>
      </c>
      <c r="D81" s="68" t="n">
        <f aca="false">IF(TRIM(Raw_Data!C81)="",1,0)</f>
        <v>0</v>
      </c>
      <c r="E81" s="68" t="n">
        <f aca="false">IF(AND(TRIM(Raw_Data!C81)&lt;&gt;"",SUMPRODUCT(--EXACT(Raw_Data!C81,Lists!$C$2:$C$7))=0),1,0)</f>
        <v>0</v>
      </c>
      <c r="F81" s="68" t="n">
        <f aca="false">IF(SUMPRODUCT(--EXACT(Raw_Data!H81,Lists!$A$2:$A$8))=0,1,0)</f>
        <v>0</v>
      </c>
      <c r="G81" s="68" t="n">
        <f aca="false">IF(TRIM(Raw_Data!F81)="",1,0)</f>
        <v>0</v>
      </c>
      <c r="H81" s="68" t="n">
        <f aca="false">IF(G81=1,0,IF(IFERROR(FIND(".",Raw_Data!F81,FIND("@",Raw_Data!F81)),0)&gt;0,0,1))</f>
        <v>0</v>
      </c>
      <c r="I81" s="68" t="n">
        <f aca="false">IF(TRIM(Raw_Data!G81)="",1,0)</f>
        <v>0</v>
      </c>
      <c r="J81" s="68" t="n">
        <f aca="false">IF(I81=1,0,IF(OR(AND(LEFT(Raw_Data!G81,4)="+91 ",LEN(Raw_Data!G81)=15),AND(LEFT(Raw_Data!G81,7)="+91 11 ",LEN(Raw_Data!G81)=16)),0,1))</f>
        <v>0</v>
      </c>
      <c r="K81" s="68" t="n">
        <f aca="false">IF(TRIM(Raw_Data!I81)="",1,0)</f>
        <v>0</v>
      </c>
      <c r="L81" s="68" t="n">
        <f aca="false">IF(AND(TRIM(Raw_Data!N81)="",ISERROR(SEARCH("not started",Raw_Data!H81))),1,0)</f>
        <v>1</v>
      </c>
      <c r="M81" s="68" t="n">
        <f aca="false">IF(OR(ISTEXT(Raw_Data!J81),ISTEXT(Raw_Data!K81),ISTEXT(Raw_Data!L81)),1,0)</f>
        <v>0</v>
      </c>
      <c r="N81" s="68" t="n">
        <f aca="false">IF(Raw_Data!M81="",1,0)</f>
        <v>0</v>
      </c>
      <c r="O81" s="68" t="n">
        <f aca="false">IF(AND(ISNUMBER(Raw_Data!M81),Raw_Data!M81&lt;0),1,0)</f>
        <v>0</v>
      </c>
      <c r="P81" s="68" t="n">
        <f aca="false">IF(OR(Raw_Data!B81&lt;&gt;TRIM(Raw_Data!B81),Raw_Data!D81&lt;&gt;TRIM(Raw_Data!D81)),1,0)</f>
        <v>0</v>
      </c>
      <c r="Q81" s="68" t="n">
        <f aca="false">IF(AND(TRIM(Raw_Data!A81)&lt;&gt;"",COUNTIF(Raw_Data!$A$2:$A$92,Raw_Data!A81)&gt;1),1,0)</f>
        <v>0</v>
      </c>
      <c r="R81" s="68" t="n">
        <f aca="false">IF(AND(ISNUMBER(SEARCH("not started",Raw_Data!H81)),OR(N(Raw_Data!M81)&gt;0,Raw_Data!K81&lt;&gt;"")),1,0)</f>
        <v>0</v>
      </c>
      <c r="S81" s="68" t="n">
        <f aca="false">IF(AND(ISERROR(SEARCH("not started",Raw_Data!H81)),Raw_Data!K81=""),1,0)</f>
        <v>0</v>
      </c>
      <c r="T81" s="68" t="n">
        <f aca="false">IF(TRIM(Raw_Data!A81)="",1,0)</f>
        <v>0</v>
      </c>
      <c r="U81" s="68" t="n">
        <f aca="false">IF(OR(D81=1,E81=1),0,IF(IFERROR(INDEX(Lists!$F$2:$F$85,MATCH(TRIM(Raw_Data!B81),Lists!$E$2:$E$85,0)),Raw_Data!C81)=Raw_Data!C81,0,1))</f>
        <v>0</v>
      </c>
      <c r="V81" s="68" t="n">
        <f aca="false">IF(SUM(C81:U81)&gt;0,1,0)</f>
        <v>1</v>
      </c>
    </row>
    <row r="82" customFormat="false" ht="15" hidden="false" customHeight="false" outlineLevel="0" collapsed="false">
      <c r="A82" s="66" t="n">
        <f aca="false">ROW()-1</f>
        <v>81</v>
      </c>
      <c r="B82" s="66" t="str">
        <f aca="false">IF(TRIM(Raw_Data!A82)="","(blank)",Raw_Data!A82)</f>
        <v>EMB-081</v>
      </c>
      <c r="C82" s="68" t="n">
        <f aca="false">IF(SUMPRODUCT(--EXACT(Raw_Data!B82,Lists!$E$2:$E$85))=0,1,0)</f>
        <v>0</v>
      </c>
      <c r="D82" s="68" t="n">
        <f aca="false">IF(TRIM(Raw_Data!C82)="",1,0)</f>
        <v>0</v>
      </c>
      <c r="E82" s="68" t="n">
        <f aca="false">IF(AND(TRIM(Raw_Data!C82)&lt;&gt;"",SUMPRODUCT(--EXACT(Raw_Data!C82,Lists!$C$2:$C$7))=0),1,0)</f>
        <v>0</v>
      </c>
      <c r="F82" s="68" t="n">
        <f aca="false">IF(SUMPRODUCT(--EXACT(Raw_Data!H82,Lists!$A$2:$A$8))=0,1,0)</f>
        <v>0</v>
      </c>
      <c r="G82" s="68" t="n">
        <f aca="false">IF(TRIM(Raw_Data!F82)="",1,0)</f>
        <v>1</v>
      </c>
      <c r="H82" s="68" t="n">
        <f aca="false">IF(G82=1,0,IF(IFERROR(FIND(".",Raw_Data!F82,FIND("@",Raw_Data!F82)),0)&gt;0,0,1))</f>
        <v>0</v>
      </c>
      <c r="I82" s="68" t="n">
        <f aca="false">IF(TRIM(Raw_Data!G82)="",1,0)</f>
        <v>0</v>
      </c>
      <c r="J82" s="68" t="n">
        <f aca="false">IF(I82=1,0,IF(OR(AND(LEFT(Raw_Data!G82,4)="+91 ",LEN(Raw_Data!G82)=15),AND(LEFT(Raw_Data!G82,7)="+91 11 ",LEN(Raw_Data!G82)=16)),0,1))</f>
        <v>0</v>
      </c>
      <c r="K82" s="68" t="n">
        <f aca="false">IF(TRIM(Raw_Data!I82)="",1,0)</f>
        <v>0</v>
      </c>
      <c r="L82" s="68" t="n">
        <f aca="false">IF(AND(TRIM(Raw_Data!N82)="",ISERROR(SEARCH("not started",Raw_Data!H82))),1,0)</f>
        <v>0</v>
      </c>
      <c r="M82" s="68" t="n">
        <f aca="false">IF(OR(ISTEXT(Raw_Data!J82),ISTEXT(Raw_Data!K82),ISTEXT(Raw_Data!L82)),1,0)</f>
        <v>1</v>
      </c>
      <c r="N82" s="68" t="n">
        <f aca="false">IF(Raw_Data!M82="",1,0)</f>
        <v>0</v>
      </c>
      <c r="O82" s="68" t="n">
        <f aca="false">IF(AND(ISNUMBER(Raw_Data!M82),Raw_Data!M82&lt;0),1,0)</f>
        <v>0</v>
      </c>
      <c r="P82" s="68" t="n">
        <f aca="false">IF(OR(Raw_Data!B82&lt;&gt;TRIM(Raw_Data!B82),Raw_Data!D82&lt;&gt;TRIM(Raw_Data!D82)),1,0)</f>
        <v>0</v>
      </c>
      <c r="Q82" s="68" t="n">
        <f aca="false">IF(AND(TRIM(Raw_Data!A82)&lt;&gt;"",COUNTIF(Raw_Data!$A$2:$A$92,Raw_Data!A82)&gt;1),1,0)</f>
        <v>0</v>
      </c>
      <c r="R82" s="68" t="n">
        <f aca="false">IF(AND(ISNUMBER(SEARCH("not started",Raw_Data!H82)),OR(N(Raw_Data!M82)&gt;0,Raw_Data!K82&lt;&gt;"")),1,0)</f>
        <v>0</v>
      </c>
      <c r="S82" s="68" t="n">
        <f aca="false">IF(AND(ISERROR(SEARCH("not started",Raw_Data!H82)),Raw_Data!K82=""),1,0)</f>
        <v>0</v>
      </c>
      <c r="T82" s="68" t="n">
        <f aca="false">IF(TRIM(Raw_Data!A82)="",1,0)</f>
        <v>0</v>
      </c>
      <c r="U82" s="68" t="n">
        <f aca="false">IF(OR(D82=1,E82=1),0,IF(IFERROR(INDEX(Lists!$F$2:$F$85,MATCH(TRIM(Raw_Data!B82),Lists!$E$2:$E$85,0)),Raw_Data!C82)=Raw_Data!C82,0,1))</f>
        <v>0</v>
      </c>
      <c r="V82" s="68" t="n">
        <f aca="false">IF(SUM(C82:U82)&gt;0,1,0)</f>
        <v>1</v>
      </c>
    </row>
    <row r="83" customFormat="false" ht="15" hidden="false" customHeight="false" outlineLevel="0" collapsed="false">
      <c r="A83" s="66" t="n">
        <f aca="false">ROW()-1</f>
        <v>82</v>
      </c>
      <c r="B83" s="66" t="str">
        <f aca="false">IF(TRIM(Raw_Data!A83)="","(blank)",Raw_Data!A83)</f>
        <v>EMB-082</v>
      </c>
      <c r="C83" s="68" t="n">
        <f aca="false">IF(SUMPRODUCT(--EXACT(Raw_Data!B83,Lists!$E$2:$E$85))=0,1,0)</f>
        <v>0</v>
      </c>
      <c r="D83" s="68" t="n">
        <f aca="false">IF(TRIM(Raw_Data!C83)="",1,0)</f>
        <v>0</v>
      </c>
      <c r="E83" s="68" t="n">
        <f aca="false">IF(AND(TRIM(Raw_Data!C83)&lt;&gt;"",SUMPRODUCT(--EXACT(Raw_Data!C83,Lists!$C$2:$C$7))=0),1,0)</f>
        <v>0</v>
      </c>
      <c r="F83" s="68" t="n">
        <f aca="false">IF(SUMPRODUCT(--EXACT(Raw_Data!H83,Lists!$A$2:$A$8))=0,1,0)</f>
        <v>0</v>
      </c>
      <c r="G83" s="68" t="n">
        <f aca="false">IF(TRIM(Raw_Data!F83)="",1,0)</f>
        <v>0</v>
      </c>
      <c r="H83" s="68" t="n">
        <f aca="false">IF(G83=1,0,IF(IFERROR(FIND(".",Raw_Data!F83,FIND("@",Raw_Data!F83)),0)&gt;0,0,1))</f>
        <v>0</v>
      </c>
      <c r="I83" s="68" t="n">
        <f aca="false">IF(TRIM(Raw_Data!G83)="",1,0)</f>
        <v>0</v>
      </c>
      <c r="J83" s="68" t="n">
        <f aca="false">IF(I83=1,0,IF(OR(AND(LEFT(Raw_Data!G83,4)="+91 ",LEN(Raw_Data!G83)=15),AND(LEFT(Raw_Data!G83,7)="+91 11 ",LEN(Raw_Data!G83)=16)),0,1))</f>
        <v>0</v>
      </c>
      <c r="K83" s="68" t="n">
        <f aca="false">IF(TRIM(Raw_Data!I83)="",1,0)</f>
        <v>0</v>
      </c>
      <c r="L83" s="68" t="n">
        <f aca="false">IF(AND(TRIM(Raw_Data!N83)="",ISERROR(SEARCH("not started",Raw_Data!H83))),1,0)</f>
        <v>0</v>
      </c>
      <c r="M83" s="68" t="n">
        <f aca="false">IF(OR(ISTEXT(Raw_Data!J83),ISTEXT(Raw_Data!K83),ISTEXT(Raw_Data!L83)),1,0)</f>
        <v>1</v>
      </c>
      <c r="N83" s="68" t="n">
        <f aca="false">IF(Raw_Data!M83="",1,0)</f>
        <v>0</v>
      </c>
      <c r="O83" s="68" t="n">
        <f aca="false">IF(AND(ISNUMBER(Raw_Data!M83),Raw_Data!M83&lt;0),1,0)</f>
        <v>0</v>
      </c>
      <c r="P83" s="68" t="n">
        <f aca="false">IF(OR(Raw_Data!B83&lt;&gt;TRIM(Raw_Data!B83),Raw_Data!D83&lt;&gt;TRIM(Raw_Data!D83)),1,0)</f>
        <v>1</v>
      </c>
      <c r="Q83" s="68" t="n">
        <f aca="false">IF(AND(TRIM(Raw_Data!A83)&lt;&gt;"",COUNTIF(Raw_Data!$A$2:$A$92,Raw_Data!A83)&gt;1),1,0)</f>
        <v>0</v>
      </c>
      <c r="R83" s="68" t="n">
        <f aca="false">IF(AND(ISNUMBER(SEARCH("not started",Raw_Data!H83)),OR(N(Raw_Data!M83)&gt;0,Raw_Data!K83&lt;&gt;"")),1,0)</f>
        <v>0</v>
      </c>
      <c r="S83" s="68" t="n">
        <f aca="false">IF(AND(ISERROR(SEARCH("not started",Raw_Data!H83)),Raw_Data!K83=""),1,0)</f>
        <v>0</v>
      </c>
      <c r="T83" s="68" t="n">
        <f aca="false">IF(TRIM(Raw_Data!A83)="",1,0)</f>
        <v>0</v>
      </c>
      <c r="U83" s="68" t="n">
        <f aca="false">IF(OR(D83=1,E83=1),0,IF(IFERROR(INDEX(Lists!$F$2:$F$85,MATCH(TRIM(Raw_Data!B83),Lists!$E$2:$E$85,0)),Raw_Data!C83)=Raw_Data!C83,0,1))</f>
        <v>1</v>
      </c>
      <c r="V83" s="68" t="n">
        <f aca="false">IF(SUM(C83:U83)&gt;0,1,0)</f>
        <v>1</v>
      </c>
    </row>
    <row r="84" customFormat="false" ht="15" hidden="false" customHeight="false" outlineLevel="0" collapsed="false">
      <c r="A84" s="66" t="n">
        <f aca="false">ROW()-1</f>
        <v>83</v>
      </c>
      <c r="B84" s="66" t="str">
        <f aca="false">IF(TRIM(Raw_Data!A84)="","(blank)",Raw_Data!A84)</f>
        <v>EMB-083</v>
      </c>
      <c r="C84" s="68" t="n">
        <f aca="false">IF(SUMPRODUCT(--EXACT(Raw_Data!B84,Lists!$E$2:$E$85))=0,1,0)</f>
        <v>0</v>
      </c>
      <c r="D84" s="68" t="n">
        <f aca="false">IF(TRIM(Raw_Data!C84)="",1,0)</f>
        <v>0</v>
      </c>
      <c r="E84" s="68" t="n">
        <f aca="false">IF(AND(TRIM(Raw_Data!C84)&lt;&gt;"",SUMPRODUCT(--EXACT(Raw_Data!C84,Lists!$C$2:$C$7))=0),1,0)</f>
        <v>0</v>
      </c>
      <c r="F84" s="68" t="n">
        <f aca="false">IF(SUMPRODUCT(--EXACT(Raw_Data!H84,Lists!$A$2:$A$8))=0,1,0)</f>
        <v>0</v>
      </c>
      <c r="G84" s="68" t="n">
        <f aca="false">IF(TRIM(Raw_Data!F84)="",1,0)</f>
        <v>0</v>
      </c>
      <c r="H84" s="68" t="n">
        <f aca="false">IF(G84=1,0,IF(IFERROR(FIND(".",Raw_Data!F84,FIND("@",Raw_Data!F84)),0)&gt;0,0,1))</f>
        <v>0</v>
      </c>
      <c r="I84" s="68" t="n">
        <f aca="false">IF(TRIM(Raw_Data!G84)="",1,0)</f>
        <v>0</v>
      </c>
      <c r="J84" s="68" t="n">
        <f aca="false">IF(I84=1,0,IF(OR(AND(LEFT(Raw_Data!G84,4)="+91 ",LEN(Raw_Data!G84)=15),AND(LEFT(Raw_Data!G84,7)="+91 11 ",LEN(Raw_Data!G84)=16)),0,1))</f>
        <v>1</v>
      </c>
      <c r="K84" s="68" t="n">
        <f aca="false">IF(TRIM(Raw_Data!I84)="",1,0)</f>
        <v>0</v>
      </c>
      <c r="L84" s="68" t="n">
        <f aca="false">IF(AND(TRIM(Raw_Data!N84)="",ISERROR(SEARCH("not started",Raw_Data!H84))),1,0)</f>
        <v>0</v>
      </c>
      <c r="M84" s="68" t="n">
        <f aca="false">IF(OR(ISTEXT(Raw_Data!J84),ISTEXT(Raw_Data!K84),ISTEXT(Raw_Data!L84)),1,0)</f>
        <v>0</v>
      </c>
      <c r="N84" s="68" t="n">
        <f aca="false">IF(Raw_Data!M84="",1,0)</f>
        <v>0</v>
      </c>
      <c r="O84" s="68" t="n">
        <f aca="false">IF(AND(ISNUMBER(Raw_Data!M84),Raw_Data!M84&lt;0),1,0)</f>
        <v>0</v>
      </c>
      <c r="P84" s="68" t="n">
        <f aca="false">IF(OR(Raw_Data!B84&lt;&gt;TRIM(Raw_Data!B84),Raw_Data!D84&lt;&gt;TRIM(Raw_Data!D84)),1,0)</f>
        <v>0</v>
      </c>
      <c r="Q84" s="68" t="n">
        <f aca="false">IF(AND(TRIM(Raw_Data!A84)&lt;&gt;"",COUNTIF(Raw_Data!$A$2:$A$92,Raw_Data!A84)&gt;1),1,0)</f>
        <v>0</v>
      </c>
      <c r="R84" s="68" t="n">
        <f aca="false">IF(AND(ISNUMBER(SEARCH("not started",Raw_Data!H84)),OR(N(Raw_Data!M84)&gt;0,Raw_Data!K84&lt;&gt;"")),1,0)</f>
        <v>0</v>
      </c>
      <c r="S84" s="68" t="n">
        <f aca="false">IF(AND(ISERROR(SEARCH("not started",Raw_Data!H84)),Raw_Data!K84=""),1,0)</f>
        <v>0</v>
      </c>
      <c r="T84" s="68" t="n">
        <f aca="false">IF(TRIM(Raw_Data!A84)="",1,0)</f>
        <v>0</v>
      </c>
      <c r="U84" s="68" t="n">
        <f aca="false">IF(OR(D84=1,E84=1),0,IF(IFERROR(INDEX(Lists!$F$2:$F$85,MATCH(TRIM(Raw_Data!B84),Lists!$E$2:$E$85,0)),Raw_Data!C84)=Raw_Data!C84,0,1))</f>
        <v>0</v>
      </c>
      <c r="V84" s="68" t="n">
        <f aca="false">IF(SUM(C84:U84)&gt;0,1,0)</f>
        <v>1</v>
      </c>
    </row>
    <row r="85" customFormat="false" ht="15" hidden="false" customHeight="false" outlineLevel="0" collapsed="false">
      <c r="A85" s="66" t="n">
        <f aca="false">ROW()-1</f>
        <v>84</v>
      </c>
      <c r="B85" s="66" t="str">
        <f aca="false">IF(TRIM(Raw_Data!A85)="","(blank)",Raw_Data!A85)</f>
        <v>EMB-084</v>
      </c>
      <c r="C85" s="68" t="n">
        <f aca="false">IF(SUMPRODUCT(--EXACT(Raw_Data!B85,Lists!$E$2:$E$85))=0,1,0)</f>
        <v>0</v>
      </c>
      <c r="D85" s="68" t="n">
        <f aca="false">IF(TRIM(Raw_Data!C85)="",1,0)</f>
        <v>0</v>
      </c>
      <c r="E85" s="68" t="n">
        <f aca="false">IF(AND(TRIM(Raw_Data!C85)&lt;&gt;"",SUMPRODUCT(--EXACT(Raw_Data!C85,Lists!$C$2:$C$7))=0),1,0)</f>
        <v>0</v>
      </c>
      <c r="F85" s="68" t="n">
        <f aca="false">IF(SUMPRODUCT(--EXACT(Raw_Data!H85,Lists!$A$2:$A$8))=0,1,0)</f>
        <v>0</v>
      </c>
      <c r="G85" s="68" t="n">
        <f aca="false">IF(TRIM(Raw_Data!F85)="",1,0)</f>
        <v>0</v>
      </c>
      <c r="H85" s="68" t="n">
        <f aca="false">IF(G85=1,0,IF(IFERROR(FIND(".",Raw_Data!F85,FIND("@",Raw_Data!F85)),0)&gt;0,0,1))</f>
        <v>0</v>
      </c>
      <c r="I85" s="68" t="n">
        <f aca="false">IF(TRIM(Raw_Data!G85)="",1,0)</f>
        <v>1</v>
      </c>
      <c r="J85" s="68" t="n">
        <f aca="false">IF(I85=1,0,IF(OR(AND(LEFT(Raw_Data!G85,4)="+91 ",LEN(Raw_Data!G85)=15),AND(LEFT(Raw_Data!G85,7)="+91 11 ",LEN(Raw_Data!G85)=16)),0,1))</f>
        <v>0</v>
      </c>
      <c r="K85" s="68" t="n">
        <f aca="false">IF(TRIM(Raw_Data!I85)="",1,0)</f>
        <v>0</v>
      </c>
      <c r="L85" s="68" t="n">
        <f aca="false">IF(AND(TRIM(Raw_Data!N85)="",ISERROR(SEARCH("not started",Raw_Data!H85))),1,0)</f>
        <v>0</v>
      </c>
      <c r="M85" s="68" t="n">
        <f aca="false">IF(OR(ISTEXT(Raw_Data!J85),ISTEXT(Raw_Data!K85),ISTEXT(Raw_Data!L85)),1,0)</f>
        <v>0</v>
      </c>
      <c r="N85" s="68" t="n">
        <f aca="false">IF(Raw_Data!M85="",1,0)</f>
        <v>0</v>
      </c>
      <c r="O85" s="68" t="n">
        <f aca="false">IF(AND(ISNUMBER(Raw_Data!M85),Raw_Data!M85&lt;0),1,0)</f>
        <v>0</v>
      </c>
      <c r="P85" s="68" t="n">
        <f aca="false">IF(OR(Raw_Data!B85&lt;&gt;TRIM(Raw_Data!B85),Raw_Data!D85&lt;&gt;TRIM(Raw_Data!D85)),1,0)</f>
        <v>0</v>
      </c>
      <c r="Q85" s="68" t="n">
        <f aca="false">IF(AND(TRIM(Raw_Data!A85)&lt;&gt;"",COUNTIF(Raw_Data!$A$2:$A$92,Raw_Data!A85)&gt;1),1,0)</f>
        <v>0</v>
      </c>
      <c r="R85" s="68" t="n">
        <f aca="false">IF(AND(ISNUMBER(SEARCH("not started",Raw_Data!H85)),OR(N(Raw_Data!M85)&gt;0,Raw_Data!K85&lt;&gt;"")),1,0)</f>
        <v>0</v>
      </c>
      <c r="S85" s="68" t="n">
        <f aca="false">IF(AND(ISERROR(SEARCH("not started",Raw_Data!H85)),Raw_Data!K85=""),1,0)</f>
        <v>0</v>
      </c>
      <c r="T85" s="68" t="n">
        <f aca="false">IF(TRIM(Raw_Data!A85)="",1,0)</f>
        <v>0</v>
      </c>
      <c r="U85" s="68" t="n">
        <f aca="false">IF(OR(D85=1,E85=1),0,IF(IFERROR(INDEX(Lists!$F$2:$F$85,MATCH(TRIM(Raw_Data!B85),Lists!$E$2:$E$85,0)),Raw_Data!C85)=Raw_Data!C85,0,1))</f>
        <v>0</v>
      </c>
      <c r="V85" s="68" t="n">
        <f aca="false">IF(SUM(C85:U85)&gt;0,1,0)</f>
        <v>1</v>
      </c>
    </row>
    <row r="86" customFormat="false" ht="15" hidden="false" customHeight="false" outlineLevel="0" collapsed="false">
      <c r="A86" s="66" t="n">
        <f aca="false">ROW()-1</f>
        <v>85</v>
      </c>
      <c r="B86" s="66" t="str">
        <f aca="false">IF(TRIM(Raw_Data!A86)="","(blank)",Raw_Data!A86)</f>
        <v>EMB-066</v>
      </c>
      <c r="C86" s="68" t="n">
        <f aca="false">IF(SUMPRODUCT(--EXACT(Raw_Data!B86,Lists!$E$2:$E$85))=0,1,0)</f>
        <v>0</v>
      </c>
      <c r="D86" s="68" t="n">
        <f aca="false">IF(TRIM(Raw_Data!C86)="",1,0)</f>
        <v>0</v>
      </c>
      <c r="E86" s="68" t="n">
        <f aca="false">IF(AND(TRIM(Raw_Data!C86)&lt;&gt;"",SUMPRODUCT(--EXACT(Raw_Data!C86,Lists!$C$2:$C$7))=0),1,0)</f>
        <v>0</v>
      </c>
      <c r="F86" s="68" t="n">
        <f aca="false">IF(SUMPRODUCT(--EXACT(Raw_Data!H86,Lists!$A$2:$A$8))=0,1,0)</f>
        <v>0</v>
      </c>
      <c r="G86" s="68" t="n">
        <f aca="false">IF(TRIM(Raw_Data!F86)="",1,0)</f>
        <v>0</v>
      </c>
      <c r="H86" s="68" t="n">
        <f aca="false">IF(G86=1,0,IF(IFERROR(FIND(".",Raw_Data!F86,FIND("@",Raw_Data!F86)),0)&gt;0,0,1))</f>
        <v>1</v>
      </c>
      <c r="I86" s="68" t="n">
        <f aca="false">IF(TRIM(Raw_Data!G86)="",1,0)</f>
        <v>0</v>
      </c>
      <c r="J86" s="68" t="n">
        <f aca="false">IF(I86=1,0,IF(OR(AND(LEFT(Raw_Data!G86,4)="+91 ",LEN(Raw_Data!G86)=15),AND(LEFT(Raw_Data!G86,7)="+91 11 ",LEN(Raw_Data!G86)=16)),0,1))</f>
        <v>0</v>
      </c>
      <c r="K86" s="68" t="n">
        <f aca="false">IF(TRIM(Raw_Data!I86)="",1,0)</f>
        <v>0</v>
      </c>
      <c r="L86" s="68" t="n">
        <f aca="false">IF(AND(TRIM(Raw_Data!N86)="",ISERROR(SEARCH("not started",Raw_Data!H86))),1,0)</f>
        <v>0</v>
      </c>
      <c r="M86" s="68" t="n">
        <f aca="false">IF(OR(ISTEXT(Raw_Data!J86),ISTEXT(Raw_Data!K86),ISTEXT(Raw_Data!L86)),1,0)</f>
        <v>0</v>
      </c>
      <c r="N86" s="68" t="n">
        <f aca="false">IF(Raw_Data!M86="",1,0)</f>
        <v>0</v>
      </c>
      <c r="O86" s="68" t="n">
        <f aca="false">IF(AND(ISNUMBER(Raw_Data!M86),Raw_Data!M86&lt;0),1,0)</f>
        <v>0</v>
      </c>
      <c r="P86" s="68" t="n">
        <f aca="false">IF(OR(Raw_Data!B86&lt;&gt;TRIM(Raw_Data!B86),Raw_Data!D86&lt;&gt;TRIM(Raw_Data!D86)),1,0)</f>
        <v>1</v>
      </c>
      <c r="Q86" s="68" t="n">
        <f aca="false">IF(AND(TRIM(Raw_Data!A86)&lt;&gt;"",COUNTIF(Raw_Data!$A$2:$A$92,Raw_Data!A86)&gt;1),1,0)</f>
        <v>1</v>
      </c>
      <c r="R86" s="68" t="n">
        <f aca="false">IF(AND(ISNUMBER(SEARCH("not started",Raw_Data!H86)),OR(N(Raw_Data!M86)&gt;0,Raw_Data!K86&lt;&gt;"")),1,0)</f>
        <v>0</v>
      </c>
      <c r="S86" s="68" t="n">
        <f aca="false">IF(AND(ISERROR(SEARCH("not started",Raw_Data!H86)),Raw_Data!K86=""),1,0)</f>
        <v>1</v>
      </c>
      <c r="T86" s="68" t="n">
        <f aca="false">IF(TRIM(Raw_Data!A86)="",1,0)</f>
        <v>0</v>
      </c>
      <c r="U86" s="68" t="n">
        <f aca="false">IF(OR(D86=1,E86=1),0,IF(IFERROR(INDEX(Lists!$F$2:$F$85,MATCH(TRIM(Raw_Data!B86),Lists!$E$2:$E$85,0)),Raw_Data!C86)=Raw_Data!C86,0,1))</f>
        <v>0</v>
      </c>
      <c r="V86" s="68" t="n">
        <f aca="false">IF(SUM(C86:U86)&gt;0,1,0)</f>
        <v>1</v>
      </c>
    </row>
    <row r="87" customFormat="false" ht="15" hidden="false" customHeight="false" outlineLevel="0" collapsed="false">
      <c r="A87" s="66" t="n">
        <f aca="false">ROW()-1</f>
        <v>86</v>
      </c>
      <c r="B87" s="66" t="str">
        <f aca="false">IF(TRIM(Raw_Data!A87)="","(blank)",Raw_Data!A87)</f>
        <v>EMB-010</v>
      </c>
      <c r="C87" s="68" t="n">
        <f aca="false">IF(SUMPRODUCT(--EXACT(Raw_Data!B87,Lists!$E$2:$E$85))=0,1,0)</f>
        <v>0</v>
      </c>
      <c r="D87" s="68" t="n">
        <f aca="false">IF(TRIM(Raw_Data!C87)="",1,0)</f>
        <v>0</v>
      </c>
      <c r="E87" s="68" t="n">
        <f aca="false">IF(AND(TRIM(Raw_Data!C87)&lt;&gt;"",SUMPRODUCT(--EXACT(Raw_Data!C87,Lists!$C$2:$C$7))=0),1,0)</f>
        <v>0</v>
      </c>
      <c r="F87" s="68" t="n">
        <f aca="false">IF(SUMPRODUCT(--EXACT(Raw_Data!H87,Lists!$A$2:$A$8))=0,1,0)</f>
        <v>1</v>
      </c>
      <c r="G87" s="68" t="n">
        <f aca="false">IF(TRIM(Raw_Data!F87)="",1,0)</f>
        <v>0</v>
      </c>
      <c r="H87" s="68" t="n">
        <f aca="false">IF(G87=1,0,IF(IFERROR(FIND(".",Raw_Data!F87,FIND("@",Raw_Data!F87)),0)&gt;0,0,1))</f>
        <v>0</v>
      </c>
      <c r="I87" s="68" t="n">
        <f aca="false">IF(TRIM(Raw_Data!G87)="",1,0)</f>
        <v>0</v>
      </c>
      <c r="J87" s="68" t="n">
        <f aca="false">IF(I87=1,0,IF(OR(AND(LEFT(Raw_Data!G87,4)="+91 ",LEN(Raw_Data!G87)=15),AND(LEFT(Raw_Data!G87,7)="+91 11 ",LEN(Raw_Data!G87)=16)),0,1))</f>
        <v>0</v>
      </c>
      <c r="K87" s="68" t="n">
        <f aca="false">IF(TRIM(Raw_Data!I87)="",1,0)</f>
        <v>0</v>
      </c>
      <c r="L87" s="68" t="n">
        <f aca="false">IF(AND(TRIM(Raw_Data!N87)="",ISERROR(SEARCH("not started",Raw_Data!H87))),1,0)</f>
        <v>0</v>
      </c>
      <c r="M87" s="68" t="n">
        <f aca="false">IF(OR(ISTEXT(Raw_Data!J87),ISTEXT(Raw_Data!K87),ISTEXT(Raw_Data!L87)),1,0)</f>
        <v>0</v>
      </c>
      <c r="N87" s="68" t="n">
        <f aca="false">IF(Raw_Data!M87="",1,0)</f>
        <v>0</v>
      </c>
      <c r="O87" s="68" t="n">
        <f aca="false">IF(AND(ISNUMBER(Raw_Data!M87),Raw_Data!M87&lt;0),1,0)</f>
        <v>0</v>
      </c>
      <c r="P87" s="68" t="n">
        <f aca="false">IF(OR(Raw_Data!B87&lt;&gt;TRIM(Raw_Data!B87),Raw_Data!D87&lt;&gt;TRIM(Raw_Data!D87)),1,0)</f>
        <v>0</v>
      </c>
      <c r="Q87" s="68" t="n">
        <f aca="false">IF(AND(TRIM(Raw_Data!A87)&lt;&gt;"",COUNTIF(Raw_Data!$A$2:$A$92,Raw_Data!A87)&gt;1),1,0)</f>
        <v>1</v>
      </c>
      <c r="R87" s="68" t="n">
        <f aca="false">IF(AND(ISNUMBER(SEARCH("not started",Raw_Data!H87)),OR(N(Raw_Data!M87)&gt;0,Raw_Data!K87&lt;&gt;"")),1,0)</f>
        <v>0</v>
      </c>
      <c r="S87" s="68" t="n">
        <f aca="false">IF(AND(ISERROR(SEARCH("not started",Raw_Data!H87)),Raw_Data!K87=""),1,0)</f>
        <v>1</v>
      </c>
      <c r="T87" s="68" t="n">
        <f aca="false">IF(TRIM(Raw_Data!A87)="",1,0)</f>
        <v>0</v>
      </c>
      <c r="U87" s="68" t="n">
        <f aca="false">IF(OR(D87=1,E87=1),0,IF(IFERROR(INDEX(Lists!$F$2:$F$85,MATCH(TRIM(Raw_Data!B87),Lists!$E$2:$E$85,0)),Raw_Data!C87)=Raw_Data!C87,0,1))</f>
        <v>0</v>
      </c>
      <c r="V87" s="68" t="n">
        <f aca="false">IF(SUM(C87:U87)&gt;0,1,0)</f>
        <v>1</v>
      </c>
    </row>
    <row r="88" customFormat="false" ht="15" hidden="false" customHeight="false" outlineLevel="0" collapsed="false">
      <c r="A88" s="66" t="n">
        <f aca="false">ROW()-1</f>
        <v>87</v>
      </c>
      <c r="B88" s="66" t="str">
        <f aca="false">IF(TRIM(Raw_Data!A88)="","(blank)",Raw_Data!A88)</f>
        <v>EMB-051</v>
      </c>
      <c r="C88" s="68" t="n">
        <f aca="false">IF(SUMPRODUCT(--EXACT(Raw_Data!B88,Lists!$E$2:$E$85))=0,1,0)</f>
        <v>0</v>
      </c>
      <c r="D88" s="68" t="n">
        <f aca="false">IF(TRIM(Raw_Data!C88)="",1,0)</f>
        <v>0</v>
      </c>
      <c r="E88" s="68" t="n">
        <f aca="false">IF(AND(TRIM(Raw_Data!C88)&lt;&gt;"",SUMPRODUCT(--EXACT(Raw_Data!C88,Lists!$C$2:$C$7))=0),1,0)</f>
        <v>0</v>
      </c>
      <c r="F88" s="68" t="n">
        <f aca="false">IF(SUMPRODUCT(--EXACT(Raw_Data!H88,Lists!$A$2:$A$8))=0,1,0)</f>
        <v>0</v>
      </c>
      <c r="G88" s="68" t="n">
        <f aca="false">IF(TRIM(Raw_Data!F88)="",1,0)</f>
        <v>0</v>
      </c>
      <c r="H88" s="68" t="n">
        <f aca="false">IF(G88=1,0,IF(IFERROR(FIND(".",Raw_Data!F88,FIND("@",Raw_Data!F88)),0)&gt;0,0,1))</f>
        <v>0</v>
      </c>
      <c r="I88" s="68" t="n">
        <f aca="false">IF(TRIM(Raw_Data!G88)="",1,0)</f>
        <v>0</v>
      </c>
      <c r="J88" s="68" t="n">
        <f aca="false">IF(I88=1,0,IF(OR(AND(LEFT(Raw_Data!G88,4)="+91 ",LEN(Raw_Data!G88)=15),AND(LEFT(Raw_Data!G88,7)="+91 11 ",LEN(Raw_Data!G88)=16)),0,1))</f>
        <v>0</v>
      </c>
      <c r="K88" s="68" t="n">
        <f aca="false">IF(TRIM(Raw_Data!I88)="",1,0)</f>
        <v>1</v>
      </c>
      <c r="L88" s="68" t="n">
        <f aca="false">IF(AND(TRIM(Raw_Data!N88)="",ISERROR(SEARCH("not started",Raw_Data!H88))),1,0)</f>
        <v>0</v>
      </c>
      <c r="M88" s="68" t="n">
        <f aca="false">IF(OR(ISTEXT(Raw_Data!J88),ISTEXT(Raw_Data!K88),ISTEXT(Raw_Data!L88)),1,0)</f>
        <v>0</v>
      </c>
      <c r="N88" s="68" t="n">
        <f aca="false">IF(Raw_Data!M88="",1,0)</f>
        <v>0</v>
      </c>
      <c r="O88" s="68" t="n">
        <f aca="false">IF(AND(ISNUMBER(Raw_Data!M88),Raw_Data!M88&lt;0),1,0)</f>
        <v>0</v>
      </c>
      <c r="P88" s="68" t="n">
        <f aca="false">IF(OR(Raw_Data!B88&lt;&gt;TRIM(Raw_Data!B88),Raw_Data!D88&lt;&gt;TRIM(Raw_Data!D88)),1,0)</f>
        <v>0</v>
      </c>
      <c r="Q88" s="68" t="n">
        <f aca="false">IF(AND(TRIM(Raw_Data!A88)&lt;&gt;"",COUNTIF(Raw_Data!$A$2:$A$92,Raw_Data!A88)&gt;1),1,0)</f>
        <v>1</v>
      </c>
      <c r="R88" s="68" t="n">
        <f aca="false">IF(AND(ISNUMBER(SEARCH("not started",Raw_Data!H88)),OR(N(Raw_Data!M88)&gt;0,Raw_Data!K88&lt;&gt;"")),1,0)</f>
        <v>0</v>
      </c>
      <c r="S88" s="68" t="n">
        <f aca="false">IF(AND(ISERROR(SEARCH("not started",Raw_Data!H88)),Raw_Data!K88=""),1,0)</f>
        <v>0</v>
      </c>
      <c r="T88" s="68" t="n">
        <f aca="false">IF(TRIM(Raw_Data!A88)="",1,0)</f>
        <v>0</v>
      </c>
      <c r="U88" s="68" t="n">
        <f aca="false">IF(OR(D88=1,E88=1),0,IF(IFERROR(INDEX(Lists!$F$2:$F$85,MATCH(TRIM(Raw_Data!B88),Lists!$E$2:$E$85,0)),Raw_Data!C88)=Raw_Data!C88,0,1))</f>
        <v>0</v>
      </c>
      <c r="V88" s="68" t="n">
        <f aca="false">IF(SUM(C88:U88)&gt;0,1,0)</f>
        <v>1</v>
      </c>
    </row>
    <row r="89" customFormat="false" ht="15" hidden="false" customHeight="false" outlineLevel="0" collapsed="false">
      <c r="A89" s="66" t="n">
        <f aca="false">ROW()-1</f>
        <v>88</v>
      </c>
      <c r="B89" s="66" t="str">
        <f aca="false">IF(TRIM(Raw_Data!A89)="","(blank)",Raw_Data!A89)</f>
        <v>EMB-037</v>
      </c>
      <c r="C89" s="68" t="n">
        <f aca="false">IF(SUMPRODUCT(--EXACT(Raw_Data!B89,Lists!$E$2:$E$85))=0,1,0)</f>
        <v>0</v>
      </c>
      <c r="D89" s="68" t="n">
        <f aca="false">IF(TRIM(Raw_Data!C89)="",1,0)</f>
        <v>0</v>
      </c>
      <c r="E89" s="68" t="n">
        <f aca="false">IF(AND(TRIM(Raw_Data!C89)&lt;&gt;"",SUMPRODUCT(--EXACT(Raw_Data!C89,Lists!$C$2:$C$7))=0),1,0)</f>
        <v>0</v>
      </c>
      <c r="F89" s="68" t="n">
        <f aca="false">IF(SUMPRODUCT(--EXACT(Raw_Data!H89,Lists!$A$2:$A$8))=0,1,0)</f>
        <v>0</v>
      </c>
      <c r="G89" s="68" t="n">
        <f aca="false">IF(TRIM(Raw_Data!F89)="",1,0)</f>
        <v>0</v>
      </c>
      <c r="H89" s="68" t="n">
        <f aca="false">IF(G89=1,0,IF(IFERROR(FIND(".",Raw_Data!F89,FIND("@",Raw_Data!F89)),0)&gt;0,0,1))</f>
        <v>0</v>
      </c>
      <c r="I89" s="68" t="n">
        <f aca="false">IF(TRIM(Raw_Data!G89)="",1,0)</f>
        <v>0</v>
      </c>
      <c r="J89" s="68" t="n">
        <f aca="false">IF(I89=1,0,IF(OR(AND(LEFT(Raw_Data!G89,4)="+91 ",LEN(Raw_Data!G89)=15),AND(LEFT(Raw_Data!G89,7)="+91 11 ",LEN(Raw_Data!G89)=16)),0,1))</f>
        <v>0</v>
      </c>
      <c r="K89" s="68" t="n">
        <f aca="false">IF(TRIM(Raw_Data!I89)="",1,0)</f>
        <v>0</v>
      </c>
      <c r="L89" s="68" t="n">
        <f aca="false">IF(AND(TRIM(Raw_Data!N89)="",ISERROR(SEARCH("not started",Raw_Data!H89))),1,0)</f>
        <v>0</v>
      </c>
      <c r="M89" s="68" t="n">
        <f aca="false">IF(OR(ISTEXT(Raw_Data!J89),ISTEXT(Raw_Data!K89),ISTEXT(Raw_Data!L89)),1,0)</f>
        <v>0</v>
      </c>
      <c r="N89" s="68" t="n">
        <f aca="false">IF(Raw_Data!M89="",1,0)</f>
        <v>0</v>
      </c>
      <c r="O89" s="68" t="n">
        <f aca="false">IF(AND(ISNUMBER(Raw_Data!M89),Raw_Data!M89&lt;0),1,0)</f>
        <v>0</v>
      </c>
      <c r="P89" s="68" t="n">
        <f aca="false">IF(OR(Raw_Data!B89&lt;&gt;TRIM(Raw_Data!B89),Raw_Data!D89&lt;&gt;TRIM(Raw_Data!D89)),1,0)</f>
        <v>0</v>
      </c>
      <c r="Q89" s="68" t="n">
        <f aca="false">IF(AND(TRIM(Raw_Data!A89)&lt;&gt;"",COUNTIF(Raw_Data!$A$2:$A$92,Raw_Data!A89)&gt;1),1,0)</f>
        <v>1</v>
      </c>
      <c r="R89" s="68" t="n">
        <f aca="false">IF(AND(ISNUMBER(SEARCH("not started",Raw_Data!H89)),OR(N(Raw_Data!M89)&gt;0,Raw_Data!K89&lt;&gt;"")),1,0)</f>
        <v>0</v>
      </c>
      <c r="S89" s="68" t="n">
        <f aca="false">IF(AND(ISERROR(SEARCH("not started",Raw_Data!H89)),Raw_Data!K89=""),1,0)</f>
        <v>0</v>
      </c>
      <c r="T89" s="68" t="n">
        <f aca="false">IF(TRIM(Raw_Data!A89)="",1,0)</f>
        <v>0</v>
      </c>
      <c r="U89" s="68" t="n">
        <f aca="false">IF(OR(D89=1,E89=1),0,IF(IFERROR(INDEX(Lists!$F$2:$F$85,MATCH(TRIM(Raw_Data!B89),Lists!$E$2:$E$85,0)),Raw_Data!C89)=Raw_Data!C89,0,1))</f>
        <v>0</v>
      </c>
      <c r="V89" s="68" t="n">
        <f aca="false">IF(SUM(C89:U89)&gt;0,1,0)</f>
        <v>1</v>
      </c>
    </row>
    <row r="90" customFormat="false" ht="15" hidden="false" customHeight="false" outlineLevel="0" collapsed="false">
      <c r="A90" s="66" t="n">
        <f aca="false">ROW()-1</f>
        <v>89</v>
      </c>
      <c r="B90" s="66" t="str">
        <f aca="false">IF(TRIM(Raw_Data!A90)="","(blank)",Raw_Data!A90)</f>
        <v>EMB-094</v>
      </c>
      <c r="C90" s="68" t="n">
        <f aca="false">IF(SUMPRODUCT(--EXACT(Raw_Data!B90,Lists!$E$2:$E$85))=0,1,0)</f>
        <v>1</v>
      </c>
      <c r="D90" s="68" t="n">
        <f aca="false">IF(TRIM(Raw_Data!C90)="",1,0)</f>
        <v>0</v>
      </c>
      <c r="E90" s="68" t="n">
        <f aca="false">IF(AND(TRIM(Raw_Data!C90)&lt;&gt;"",SUMPRODUCT(--EXACT(Raw_Data!C90,Lists!$C$2:$C$7))=0),1,0)</f>
        <v>0</v>
      </c>
      <c r="F90" s="68" t="n">
        <f aca="false">IF(SUMPRODUCT(--EXACT(Raw_Data!H90,Lists!$A$2:$A$8))=0,1,0)</f>
        <v>0</v>
      </c>
      <c r="G90" s="68" t="n">
        <f aca="false">IF(TRIM(Raw_Data!F90)="",1,0)</f>
        <v>0</v>
      </c>
      <c r="H90" s="68" t="n">
        <f aca="false">IF(G90=1,0,IF(IFERROR(FIND(".",Raw_Data!F90,FIND("@",Raw_Data!F90)),0)&gt;0,0,1))</f>
        <v>0</v>
      </c>
      <c r="I90" s="68" t="n">
        <f aca="false">IF(TRIM(Raw_Data!G90)="",1,0)</f>
        <v>0</v>
      </c>
      <c r="J90" s="68" t="n">
        <f aca="false">IF(I90=1,0,IF(OR(AND(LEFT(Raw_Data!G90,4)="+91 ",LEN(Raw_Data!G90)=15),AND(LEFT(Raw_Data!G90,7)="+91 11 ",LEN(Raw_Data!G90)=16)),0,1))</f>
        <v>1</v>
      </c>
      <c r="K90" s="68" t="n">
        <f aca="false">IF(TRIM(Raw_Data!I90)="",1,0)</f>
        <v>0</v>
      </c>
      <c r="L90" s="68" t="n">
        <f aca="false">IF(AND(TRIM(Raw_Data!N90)="",ISERROR(SEARCH("not started",Raw_Data!H90))),1,0)</f>
        <v>1</v>
      </c>
      <c r="M90" s="68" t="n">
        <f aca="false">IF(OR(ISTEXT(Raw_Data!J90),ISTEXT(Raw_Data!K90),ISTEXT(Raw_Data!L90)),1,0)</f>
        <v>0</v>
      </c>
      <c r="N90" s="68" t="n">
        <f aca="false">IF(Raw_Data!M90="",1,0)</f>
        <v>0</v>
      </c>
      <c r="O90" s="68" t="n">
        <f aca="false">IF(AND(ISNUMBER(Raw_Data!M90),Raw_Data!M90&lt;0),1,0)</f>
        <v>0</v>
      </c>
      <c r="P90" s="68" t="n">
        <f aca="false">IF(OR(Raw_Data!B90&lt;&gt;TRIM(Raw_Data!B90),Raw_Data!D90&lt;&gt;TRIM(Raw_Data!D90)),1,0)</f>
        <v>1</v>
      </c>
      <c r="Q90" s="68" t="n">
        <f aca="false">IF(AND(TRIM(Raw_Data!A90)&lt;&gt;"",COUNTIF(Raw_Data!$A$2:$A$92,Raw_Data!A90)&gt;1),1,0)</f>
        <v>0</v>
      </c>
      <c r="R90" s="68" t="n">
        <f aca="false">IF(AND(ISNUMBER(SEARCH("not started",Raw_Data!H90)),OR(N(Raw_Data!M90)&gt;0,Raw_Data!K90&lt;&gt;"")),1,0)</f>
        <v>0</v>
      </c>
      <c r="S90" s="68" t="n">
        <f aca="false">IF(AND(ISERROR(SEARCH("not started",Raw_Data!H90)),Raw_Data!K90=""),1,0)</f>
        <v>0</v>
      </c>
      <c r="T90" s="68" t="n">
        <f aca="false">IF(TRIM(Raw_Data!A90)="",1,0)</f>
        <v>0</v>
      </c>
      <c r="U90" s="68" t="n">
        <f aca="false">IF(OR(D90=1,E90=1),0,IF(IFERROR(INDEX(Lists!$F$2:$F$85,MATCH(TRIM(Raw_Data!B90),Lists!$E$2:$E$85,0)),Raw_Data!C90)=Raw_Data!C90,0,1))</f>
        <v>0</v>
      </c>
      <c r="V90" s="68" t="n">
        <f aca="false">IF(SUM(C90:U90)&gt;0,1,0)</f>
        <v>1</v>
      </c>
    </row>
    <row r="91" customFormat="false" ht="15" hidden="false" customHeight="false" outlineLevel="0" collapsed="false">
      <c r="A91" s="66" t="n">
        <f aca="false">ROW()-1</f>
        <v>90</v>
      </c>
      <c r="B91" s="66" t="str">
        <f aca="false">IF(TRIM(Raw_Data!A91)="","(blank)",Raw_Data!A91)</f>
        <v>EMB-095</v>
      </c>
      <c r="C91" s="68" t="n">
        <f aca="false">IF(SUMPRODUCT(--EXACT(Raw_Data!B91,Lists!$E$2:$E$85))=0,1,0)</f>
        <v>0</v>
      </c>
      <c r="D91" s="68" t="n">
        <f aca="false">IF(TRIM(Raw_Data!C91)="",1,0)</f>
        <v>0</v>
      </c>
      <c r="E91" s="68" t="n">
        <f aca="false">IF(AND(TRIM(Raw_Data!C91)&lt;&gt;"",SUMPRODUCT(--EXACT(Raw_Data!C91,Lists!$C$2:$C$7))=0),1,0)</f>
        <v>0</v>
      </c>
      <c r="F91" s="68" t="n">
        <f aca="false">IF(SUMPRODUCT(--EXACT(Raw_Data!H91,Lists!$A$2:$A$8))=0,1,0)</f>
        <v>0</v>
      </c>
      <c r="G91" s="68" t="n">
        <f aca="false">IF(TRIM(Raw_Data!F91)="",1,0)</f>
        <v>0</v>
      </c>
      <c r="H91" s="68" t="n">
        <f aca="false">IF(G91=1,0,IF(IFERROR(FIND(".",Raw_Data!F91,FIND("@",Raw_Data!F91)),0)&gt;0,0,1))</f>
        <v>0</v>
      </c>
      <c r="I91" s="68" t="n">
        <f aca="false">IF(TRIM(Raw_Data!G91)="",1,0)</f>
        <v>0</v>
      </c>
      <c r="J91" s="68" t="n">
        <f aca="false">IF(I91=1,0,IF(OR(AND(LEFT(Raw_Data!G91,4)="+91 ",LEN(Raw_Data!G91)=15),AND(LEFT(Raw_Data!G91,7)="+91 11 ",LEN(Raw_Data!G91)=16)),0,1))</f>
        <v>0</v>
      </c>
      <c r="K91" s="68" t="n">
        <f aca="false">IF(TRIM(Raw_Data!I91)="",1,0)</f>
        <v>0</v>
      </c>
      <c r="L91" s="68" t="n">
        <f aca="false">IF(AND(TRIM(Raw_Data!N91)="",ISERROR(SEARCH("not started",Raw_Data!H91))),1,0)</f>
        <v>0</v>
      </c>
      <c r="M91" s="68" t="n">
        <f aca="false">IF(OR(ISTEXT(Raw_Data!J91),ISTEXT(Raw_Data!K91),ISTEXT(Raw_Data!L91)),1,0)</f>
        <v>0</v>
      </c>
      <c r="N91" s="68" t="n">
        <f aca="false">IF(Raw_Data!M91="",1,0)</f>
        <v>0</v>
      </c>
      <c r="O91" s="68" t="n">
        <f aca="false">IF(AND(ISNUMBER(Raw_Data!M91),Raw_Data!M91&lt;0),1,0)</f>
        <v>0</v>
      </c>
      <c r="P91" s="68" t="n">
        <f aca="false">IF(OR(Raw_Data!B91&lt;&gt;TRIM(Raw_Data!B91),Raw_Data!D91&lt;&gt;TRIM(Raw_Data!D91)),1,0)</f>
        <v>0</v>
      </c>
      <c r="Q91" s="68" t="n">
        <f aca="false">IF(AND(TRIM(Raw_Data!A91)&lt;&gt;"",COUNTIF(Raw_Data!$A$2:$A$92,Raw_Data!A91)&gt;1),1,0)</f>
        <v>0</v>
      </c>
      <c r="R91" s="68" t="n">
        <f aca="false">IF(AND(ISNUMBER(SEARCH("not started",Raw_Data!H91)),OR(N(Raw_Data!M91)&gt;0,Raw_Data!K91&lt;&gt;"")),1,0)</f>
        <v>0</v>
      </c>
      <c r="S91" s="68" t="n">
        <f aca="false">IF(AND(ISERROR(SEARCH("not started",Raw_Data!H91)),Raw_Data!K91=""),1,0)</f>
        <v>0</v>
      </c>
      <c r="T91" s="68" t="n">
        <f aca="false">IF(TRIM(Raw_Data!A91)="",1,0)</f>
        <v>0</v>
      </c>
      <c r="U91" s="68" t="n">
        <f aca="false">IF(OR(D91=1,E91=1),0,IF(IFERROR(INDEX(Lists!$F$2:$F$85,MATCH(TRIM(Raw_Data!B91),Lists!$E$2:$E$85,0)),Raw_Data!C91)=Raw_Data!C91,0,1))</f>
        <v>0</v>
      </c>
      <c r="V91" s="68" t="n">
        <f aca="false">IF(SUM(C91:U91)&gt;0,1,0)</f>
        <v>0</v>
      </c>
    </row>
    <row r="92" customFormat="false" ht="15" hidden="false" customHeight="false" outlineLevel="0" collapsed="false">
      <c r="A92" s="66" t="n">
        <f aca="false">ROW()-1</f>
        <v>91</v>
      </c>
      <c r="B92" s="66" t="str">
        <f aca="false">IF(TRIM(Raw_Data!A92)="","(blank)",Raw_Data!A92)</f>
        <v>EMB-096</v>
      </c>
      <c r="C92" s="68" t="n">
        <f aca="false">IF(SUMPRODUCT(--EXACT(Raw_Data!B92,Lists!$E$2:$E$85))=0,1,0)</f>
        <v>1</v>
      </c>
      <c r="D92" s="68" t="n">
        <f aca="false">IF(TRIM(Raw_Data!C92)="",1,0)</f>
        <v>0</v>
      </c>
      <c r="E92" s="68" t="n">
        <f aca="false">IF(AND(TRIM(Raw_Data!C92)&lt;&gt;"",SUMPRODUCT(--EXACT(Raw_Data!C92,Lists!$C$2:$C$7))=0),1,0)</f>
        <v>0</v>
      </c>
      <c r="F92" s="68" t="n">
        <f aca="false">IF(SUMPRODUCT(--EXACT(Raw_Data!H92,Lists!$A$2:$A$8))=0,1,0)</f>
        <v>0</v>
      </c>
      <c r="G92" s="68" t="n">
        <f aca="false">IF(TRIM(Raw_Data!F92)="",1,0)</f>
        <v>0</v>
      </c>
      <c r="H92" s="68" t="n">
        <f aca="false">IF(G92=1,0,IF(IFERROR(FIND(".",Raw_Data!F92,FIND("@",Raw_Data!F92)),0)&gt;0,0,1))</f>
        <v>0</v>
      </c>
      <c r="I92" s="68" t="n">
        <f aca="false">IF(TRIM(Raw_Data!G92)="",1,0)</f>
        <v>0</v>
      </c>
      <c r="J92" s="68" t="n">
        <f aca="false">IF(I92=1,0,IF(OR(AND(LEFT(Raw_Data!G92,4)="+91 ",LEN(Raw_Data!G92)=15),AND(LEFT(Raw_Data!G92,7)="+91 11 ",LEN(Raw_Data!G92)=16)),0,1))</f>
        <v>1</v>
      </c>
      <c r="K92" s="68" t="n">
        <f aca="false">IF(TRIM(Raw_Data!I92)="",1,0)</f>
        <v>0</v>
      </c>
      <c r="L92" s="68" t="n">
        <f aca="false">IF(AND(TRIM(Raw_Data!N92)="",ISERROR(SEARCH("not started",Raw_Data!H92))),1,0)</f>
        <v>0</v>
      </c>
      <c r="M92" s="68" t="n">
        <f aca="false">IF(OR(ISTEXT(Raw_Data!J92),ISTEXT(Raw_Data!K92),ISTEXT(Raw_Data!L92)),1,0)</f>
        <v>0</v>
      </c>
      <c r="N92" s="68" t="n">
        <f aca="false">IF(Raw_Data!M92="",1,0)</f>
        <v>0</v>
      </c>
      <c r="O92" s="68" t="n">
        <f aca="false">IF(AND(ISNUMBER(Raw_Data!M92),Raw_Data!M92&lt;0),1,0)</f>
        <v>0</v>
      </c>
      <c r="P92" s="68" t="n">
        <f aca="false">IF(OR(Raw_Data!B92&lt;&gt;TRIM(Raw_Data!B92),Raw_Data!D92&lt;&gt;TRIM(Raw_Data!D92)),1,0)</f>
        <v>0</v>
      </c>
      <c r="Q92" s="68" t="n">
        <f aca="false">IF(AND(TRIM(Raw_Data!A92)&lt;&gt;"",COUNTIF(Raw_Data!$A$2:$A$92,Raw_Data!A92)&gt;1),1,0)</f>
        <v>0</v>
      </c>
      <c r="R92" s="68" t="n">
        <f aca="false">IF(AND(ISNUMBER(SEARCH("not started",Raw_Data!H92)),OR(N(Raw_Data!M92)&gt;0,Raw_Data!K92&lt;&gt;"")),1,0)</f>
        <v>0</v>
      </c>
      <c r="S92" s="68" t="n">
        <f aca="false">IF(AND(ISERROR(SEARCH("not started",Raw_Data!H92)),Raw_Data!K92=""),1,0)</f>
        <v>0</v>
      </c>
      <c r="T92" s="68" t="n">
        <f aca="false">IF(TRIM(Raw_Data!A92)="",1,0)</f>
        <v>0</v>
      </c>
      <c r="U92" s="68" t="n">
        <f aca="false">IF(OR(D92=1,E92=1),0,IF(IFERROR(INDEX(Lists!$F$2:$F$85,MATCH(TRIM(Raw_Data!B92),Lists!$E$2:$E$85,0)),Raw_Data!C92)=Raw_Data!C92,0,1))</f>
        <v>0</v>
      </c>
      <c r="V92" s="68" t="n">
        <f aca="false">IF(SUM(C92:U92)&gt;0,1,0)</f>
        <v>1</v>
      </c>
    </row>
    <row r="93" customFormat="false" ht="15" hidden="false" customHeight="false" outlineLevel="0" collapsed="false">
      <c r="A93" s="69"/>
      <c r="B93" s="69" t="s">
        <v>738</v>
      </c>
      <c r="C93" s="69" t="n">
        <f aca="false">SUM(C2:C92)</f>
        <v>11</v>
      </c>
      <c r="D93" s="69" t="n">
        <f aca="false">SUM(D2:D92)</f>
        <v>5</v>
      </c>
      <c r="E93" s="69" t="n">
        <f aca="false">SUM(E2:E92)</f>
        <v>8</v>
      </c>
      <c r="F93" s="69" t="n">
        <f aca="false">SUM(F2:F92)</f>
        <v>14</v>
      </c>
      <c r="G93" s="69" t="n">
        <f aca="false">SUM(G2:G92)</f>
        <v>7</v>
      </c>
      <c r="H93" s="69" t="n">
        <f aca="false">SUM(H2:H92)</f>
        <v>7</v>
      </c>
      <c r="I93" s="69" t="n">
        <f aca="false">SUM(I2:I92)</f>
        <v>8</v>
      </c>
      <c r="J93" s="69" t="n">
        <f aca="false">SUM(J2:J92)</f>
        <v>12</v>
      </c>
      <c r="K93" s="69" t="n">
        <f aca="false">SUM(K2:K92)</f>
        <v>9</v>
      </c>
      <c r="L93" s="69" t="n">
        <f aca="false">SUM(L2:L92)</f>
        <v>11</v>
      </c>
      <c r="M93" s="69" t="n">
        <f aca="false">SUM(M2:M92)</f>
        <v>8</v>
      </c>
      <c r="N93" s="69" t="n">
        <f aca="false">SUM(N2:N92)</f>
        <v>6</v>
      </c>
      <c r="O93" s="69" t="n">
        <f aca="false">SUM(O2:O92)</f>
        <v>1</v>
      </c>
      <c r="P93" s="69" t="n">
        <f aca="false">SUM(P2:P92)</f>
        <v>9</v>
      </c>
      <c r="Q93" s="69" t="n">
        <f aca="false">SUM(Q2:Q92)</f>
        <v>8</v>
      </c>
      <c r="R93" s="69" t="n">
        <f aca="false">SUM(R2:R92)</f>
        <v>3</v>
      </c>
      <c r="S93" s="69" t="n">
        <f aca="false">SUM(S2:S92)</f>
        <v>6</v>
      </c>
      <c r="T93" s="69" t="n">
        <f aca="false">SUM(T2:T92)</f>
        <v>2</v>
      </c>
      <c r="U93" s="69" t="n">
        <f aca="false">SUM(U2:U92)</f>
        <v>3</v>
      </c>
      <c r="V93" s="69" t="n">
        <f aca="false">SUM(V2:V92)</f>
        <v>72</v>
      </c>
    </row>
    <row r="95" customFormat="false" ht="15" hidden="false" customHeight="false" outlineLevel="0" collapsed="false">
      <c r="A95" s="53" t="s">
        <v>739</v>
      </c>
    </row>
  </sheetData>
  <conditionalFormatting sqref="C2:V92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3" style="0" width="28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70" t="s">
        <v>740</v>
      </c>
      <c r="C1" s="70" t="s">
        <v>741</v>
      </c>
      <c r="E1" s="70" t="s">
        <v>742</v>
      </c>
      <c r="F1" s="70" t="s">
        <v>11</v>
      </c>
      <c r="G1" s="70" t="s">
        <v>68</v>
      </c>
      <c r="I1" s="53" t="s">
        <v>743</v>
      </c>
    </row>
    <row r="2" customFormat="false" ht="15" hidden="false" customHeight="false" outlineLevel="0" collapsed="false">
      <c r="A2" s="66" t="s">
        <v>21</v>
      </c>
      <c r="C2" s="66" t="s">
        <v>207</v>
      </c>
      <c r="E2" s="66" t="s">
        <v>257</v>
      </c>
      <c r="F2" s="66" t="s">
        <v>207</v>
      </c>
      <c r="G2" s="66" t="s">
        <v>256</v>
      </c>
    </row>
    <row r="3" customFormat="false" ht="15" hidden="false" customHeight="false" outlineLevel="0" collapsed="false">
      <c r="A3" s="66" t="s">
        <v>192</v>
      </c>
      <c r="C3" s="66" t="s">
        <v>208</v>
      </c>
      <c r="E3" s="66" t="s">
        <v>263</v>
      </c>
      <c r="F3" s="66" t="s">
        <v>207</v>
      </c>
      <c r="G3" s="66" t="s">
        <v>43</v>
      </c>
    </row>
    <row r="4" customFormat="false" ht="15" hidden="false" customHeight="false" outlineLevel="0" collapsed="false">
      <c r="A4" s="66" t="s">
        <v>193</v>
      </c>
      <c r="C4" s="66" t="s">
        <v>209</v>
      </c>
      <c r="E4" s="66" t="s">
        <v>270</v>
      </c>
      <c r="F4" s="66" t="s">
        <v>207</v>
      </c>
      <c r="G4" s="66" t="s">
        <v>269</v>
      </c>
    </row>
    <row r="5" customFormat="false" ht="15" hidden="false" customHeight="false" outlineLevel="0" collapsed="false">
      <c r="A5" s="66" t="s">
        <v>194</v>
      </c>
      <c r="C5" s="66" t="s">
        <v>210</v>
      </c>
      <c r="E5" s="66" t="s">
        <v>276</v>
      </c>
      <c r="F5" s="66" t="s">
        <v>207</v>
      </c>
      <c r="G5" s="66" t="s">
        <v>275</v>
      </c>
    </row>
    <row r="6" customFormat="false" ht="15" hidden="false" customHeight="false" outlineLevel="0" collapsed="false">
      <c r="A6" s="66" t="s">
        <v>14</v>
      </c>
      <c r="C6" s="66" t="s">
        <v>211</v>
      </c>
      <c r="E6" s="66" t="s">
        <v>283</v>
      </c>
      <c r="F6" s="66" t="s">
        <v>207</v>
      </c>
      <c r="G6" s="66" t="s">
        <v>282</v>
      </c>
    </row>
    <row r="7" customFormat="false" ht="15" hidden="false" customHeight="false" outlineLevel="0" collapsed="false">
      <c r="A7" s="66" t="s">
        <v>195</v>
      </c>
      <c r="C7" s="66" t="s">
        <v>212</v>
      </c>
      <c r="E7" s="66" t="s">
        <v>289</v>
      </c>
      <c r="F7" s="66" t="s">
        <v>207</v>
      </c>
      <c r="G7" s="66" t="s">
        <v>288</v>
      </c>
    </row>
    <row r="8" customFormat="false" ht="15" hidden="false" customHeight="false" outlineLevel="0" collapsed="false">
      <c r="A8" s="66" t="s">
        <v>196</v>
      </c>
      <c r="E8" s="66" t="s">
        <v>295</v>
      </c>
      <c r="F8" s="66" t="s">
        <v>207</v>
      </c>
      <c r="G8" s="66" t="s">
        <v>294</v>
      </c>
    </row>
    <row r="9" customFormat="false" ht="15" hidden="false" customHeight="false" outlineLevel="0" collapsed="false">
      <c r="E9" s="66" t="s">
        <v>300</v>
      </c>
      <c r="F9" s="66" t="s">
        <v>207</v>
      </c>
      <c r="G9" s="66" t="s">
        <v>299</v>
      </c>
    </row>
    <row r="10" customFormat="false" ht="15" hidden="false" customHeight="false" outlineLevel="0" collapsed="false">
      <c r="E10" s="66" t="s">
        <v>306</v>
      </c>
      <c r="F10" s="66" t="s">
        <v>207</v>
      </c>
      <c r="G10" s="66" t="s">
        <v>305</v>
      </c>
    </row>
    <row r="11" customFormat="false" ht="15" hidden="false" customHeight="false" outlineLevel="0" collapsed="false">
      <c r="E11" s="66" t="s">
        <v>311</v>
      </c>
      <c r="F11" s="66" t="s">
        <v>207</v>
      </c>
      <c r="G11" s="66" t="s">
        <v>310</v>
      </c>
    </row>
    <row r="12" customFormat="false" ht="15" hidden="false" customHeight="false" outlineLevel="0" collapsed="false">
      <c r="E12" s="66" t="s">
        <v>317</v>
      </c>
      <c r="F12" s="66" t="s">
        <v>207</v>
      </c>
      <c r="G12" s="66" t="s">
        <v>316</v>
      </c>
    </row>
    <row r="13" customFormat="false" ht="15" hidden="false" customHeight="false" outlineLevel="0" collapsed="false">
      <c r="E13" s="66" t="s">
        <v>322</v>
      </c>
      <c r="F13" s="66" t="s">
        <v>207</v>
      </c>
      <c r="G13" s="66" t="s">
        <v>41</v>
      </c>
    </row>
    <row r="14" customFormat="false" ht="15" hidden="false" customHeight="false" outlineLevel="0" collapsed="false">
      <c r="E14" s="66" t="s">
        <v>329</v>
      </c>
      <c r="F14" s="66" t="s">
        <v>207</v>
      </c>
      <c r="G14" s="66" t="s">
        <v>328</v>
      </c>
    </row>
    <row r="15" customFormat="false" ht="15" hidden="false" customHeight="false" outlineLevel="0" collapsed="false">
      <c r="E15" s="66" t="s">
        <v>334</v>
      </c>
      <c r="F15" s="66" t="s">
        <v>207</v>
      </c>
      <c r="G15" s="66" t="s">
        <v>333</v>
      </c>
    </row>
    <row r="16" customFormat="false" ht="15" hidden="false" customHeight="false" outlineLevel="0" collapsed="false">
      <c r="E16" s="66" t="s">
        <v>340</v>
      </c>
      <c r="F16" s="66" t="s">
        <v>207</v>
      </c>
      <c r="G16" s="66" t="s">
        <v>339</v>
      </c>
    </row>
    <row r="17" customFormat="false" ht="15" hidden="false" customHeight="false" outlineLevel="0" collapsed="false">
      <c r="E17" s="66" t="s">
        <v>346</v>
      </c>
      <c r="F17" s="66" t="s">
        <v>207</v>
      </c>
      <c r="G17" s="66" t="s">
        <v>345</v>
      </c>
    </row>
    <row r="18" customFormat="false" ht="15" hidden="false" customHeight="false" outlineLevel="0" collapsed="false">
      <c r="E18" s="66" t="s">
        <v>352</v>
      </c>
      <c r="F18" s="66" t="s">
        <v>207</v>
      </c>
      <c r="G18" s="66" t="s">
        <v>351</v>
      </c>
    </row>
    <row r="19" customFormat="false" ht="15" hidden="false" customHeight="false" outlineLevel="0" collapsed="false">
      <c r="E19" s="66" t="s">
        <v>356</v>
      </c>
      <c r="F19" s="66" t="s">
        <v>207</v>
      </c>
      <c r="G19" s="66" t="s">
        <v>37</v>
      </c>
    </row>
    <row r="20" customFormat="false" ht="15" hidden="false" customHeight="false" outlineLevel="0" collapsed="false">
      <c r="E20" s="66" t="s">
        <v>362</v>
      </c>
      <c r="F20" s="66" t="s">
        <v>207</v>
      </c>
      <c r="G20" s="66" t="s">
        <v>361</v>
      </c>
    </row>
    <row r="21" customFormat="false" ht="15" hidden="false" customHeight="false" outlineLevel="0" collapsed="false">
      <c r="E21" s="66" t="s">
        <v>366</v>
      </c>
      <c r="F21" s="66" t="s">
        <v>207</v>
      </c>
      <c r="G21" s="66" t="s">
        <v>35</v>
      </c>
    </row>
    <row r="22" customFormat="false" ht="15" hidden="false" customHeight="false" outlineLevel="0" collapsed="false">
      <c r="E22" s="66" t="s">
        <v>370</v>
      </c>
      <c r="F22" s="66" t="s">
        <v>208</v>
      </c>
      <c r="G22" s="66" t="s">
        <v>369</v>
      </c>
    </row>
    <row r="23" customFormat="false" ht="15" hidden="false" customHeight="false" outlineLevel="0" collapsed="false">
      <c r="E23" s="66" t="s">
        <v>375</v>
      </c>
      <c r="F23" s="66" t="s">
        <v>208</v>
      </c>
      <c r="G23" s="66" t="s">
        <v>374</v>
      </c>
    </row>
    <row r="24" customFormat="false" ht="15" hidden="false" customHeight="false" outlineLevel="0" collapsed="false">
      <c r="E24" s="66" t="s">
        <v>381</v>
      </c>
      <c r="F24" s="66" t="s">
        <v>208</v>
      </c>
      <c r="G24" s="66" t="s">
        <v>380</v>
      </c>
    </row>
    <row r="25" customFormat="false" ht="15" hidden="false" customHeight="false" outlineLevel="0" collapsed="false">
      <c r="E25" s="66" t="s">
        <v>385</v>
      </c>
      <c r="F25" s="66" t="s">
        <v>208</v>
      </c>
      <c r="G25" s="66" t="s">
        <v>36</v>
      </c>
    </row>
    <row r="26" customFormat="false" ht="15" hidden="false" customHeight="false" outlineLevel="0" collapsed="false">
      <c r="E26" s="66" t="s">
        <v>390</v>
      </c>
      <c r="F26" s="66" t="s">
        <v>208</v>
      </c>
      <c r="G26" s="66" t="s">
        <v>389</v>
      </c>
    </row>
    <row r="27" customFormat="false" ht="15" hidden="false" customHeight="false" outlineLevel="0" collapsed="false">
      <c r="E27" s="66" t="s">
        <v>395</v>
      </c>
      <c r="F27" s="66" t="s">
        <v>208</v>
      </c>
      <c r="G27" s="66" t="s">
        <v>394</v>
      </c>
    </row>
    <row r="28" customFormat="false" ht="15" hidden="false" customHeight="false" outlineLevel="0" collapsed="false">
      <c r="E28" s="66" t="s">
        <v>401</v>
      </c>
      <c r="F28" s="66" t="s">
        <v>208</v>
      </c>
      <c r="G28" s="66" t="s">
        <v>400</v>
      </c>
    </row>
    <row r="29" customFormat="false" ht="15" hidden="false" customHeight="false" outlineLevel="0" collapsed="false">
      <c r="E29" s="66" t="s">
        <v>407</v>
      </c>
      <c r="F29" s="66" t="s">
        <v>208</v>
      </c>
      <c r="G29" s="66" t="s">
        <v>406</v>
      </c>
    </row>
    <row r="30" customFormat="false" ht="15" hidden="false" customHeight="false" outlineLevel="0" collapsed="false">
      <c r="E30" s="66" t="s">
        <v>412</v>
      </c>
      <c r="F30" s="66" t="s">
        <v>208</v>
      </c>
      <c r="G30" s="66" t="s">
        <v>411</v>
      </c>
    </row>
    <row r="31" customFormat="false" ht="15" hidden="false" customHeight="false" outlineLevel="0" collapsed="false">
      <c r="E31" s="66" t="s">
        <v>417</v>
      </c>
      <c r="F31" s="66" t="s">
        <v>208</v>
      </c>
      <c r="G31" s="66" t="s">
        <v>416</v>
      </c>
    </row>
    <row r="32" customFormat="false" ht="15" hidden="false" customHeight="false" outlineLevel="0" collapsed="false">
      <c r="E32" s="66" t="s">
        <v>423</v>
      </c>
      <c r="F32" s="66" t="s">
        <v>208</v>
      </c>
      <c r="G32" s="66" t="s">
        <v>422</v>
      </c>
    </row>
    <row r="33" customFormat="false" ht="15" hidden="false" customHeight="false" outlineLevel="0" collapsed="false">
      <c r="E33" s="66" t="s">
        <v>429</v>
      </c>
      <c r="F33" s="66" t="s">
        <v>208</v>
      </c>
      <c r="G33" s="66" t="s">
        <v>428</v>
      </c>
    </row>
    <row r="34" customFormat="false" ht="15" hidden="false" customHeight="false" outlineLevel="0" collapsed="false">
      <c r="E34" s="66" t="s">
        <v>435</v>
      </c>
      <c r="F34" s="66" t="s">
        <v>208</v>
      </c>
      <c r="G34" s="66" t="s">
        <v>434</v>
      </c>
    </row>
    <row r="35" customFormat="false" ht="15" hidden="false" customHeight="false" outlineLevel="0" collapsed="false">
      <c r="E35" s="66" t="s">
        <v>440</v>
      </c>
      <c r="F35" s="66" t="s">
        <v>208</v>
      </c>
      <c r="G35" s="66" t="s">
        <v>439</v>
      </c>
    </row>
    <row r="36" customFormat="false" ht="15" hidden="false" customHeight="false" outlineLevel="0" collapsed="false">
      <c r="E36" s="66" t="s">
        <v>445</v>
      </c>
      <c r="F36" s="66" t="s">
        <v>209</v>
      </c>
      <c r="G36" s="66" t="s">
        <v>444</v>
      </c>
    </row>
    <row r="37" customFormat="false" ht="15" hidden="false" customHeight="false" outlineLevel="0" collapsed="false">
      <c r="E37" s="66" t="s">
        <v>450</v>
      </c>
      <c r="F37" s="66" t="s">
        <v>209</v>
      </c>
      <c r="G37" s="66" t="s">
        <v>449</v>
      </c>
    </row>
    <row r="38" customFormat="false" ht="15" hidden="false" customHeight="false" outlineLevel="0" collapsed="false">
      <c r="E38" s="66" t="s">
        <v>455</v>
      </c>
      <c r="F38" s="66" t="s">
        <v>209</v>
      </c>
      <c r="G38" s="66" t="s">
        <v>454</v>
      </c>
    </row>
    <row r="39" customFormat="false" ht="15" hidden="false" customHeight="false" outlineLevel="0" collapsed="false">
      <c r="E39" s="66" t="s">
        <v>460</v>
      </c>
      <c r="F39" s="66" t="s">
        <v>209</v>
      </c>
      <c r="G39" s="66" t="s">
        <v>459</v>
      </c>
    </row>
    <row r="40" customFormat="false" ht="15" hidden="false" customHeight="false" outlineLevel="0" collapsed="false">
      <c r="E40" s="66" t="s">
        <v>465</v>
      </c>
      <c r="F40" s="66" t="s">
        <v>209</v>
      </c>
      <c r="G40" s="66" t="s">
        <v>464</v>
      </c>
    </row>
    <row r="41" customFormat="false" ht="15" hidden="false" customHeight="false" outlineLevel="0" collapsed="false">
      <c r="E41" s="66" t="s">
        <v>469</v>
      </c>
      <c r="F41" s="66" t="s">
        <v>209</v>
      </c>
      <c r="G41" s="66" t="s">
        <v>468</v>
      </c>
    </row>
    <row r="42" customFormat="false" ht="15" hidden="false" customHeight="false" outlineLevel="0" collapsed="false">
      <c r="E42" s="66" t="s">
        <v>473</v>
      </c>
      <c r="F42" s="66" t="s">
        <v>209</v>
      </c>
      <c r="G42" s="66" t="s">
        <v>472</v>
      </c>
    </row>
    <row r="43" customFormat="false" ht="15" hidden="false" customHeight="false" outlineLevel="0" collapsed="false">
      <c r="E43" s="66" t="s">
        <v>476</v>
      </c>
      <c r="F43" s="66" t="s">
        <v>209</v>
      </c>
      <c r="G43" s="66" t="s">
        <v>39</v>
      </c>
    </row>
    <row r="44" customFormat="false" ht="15" hidden="false" customHeight="false" outlineLevel="0" collapsed="false">
      <c r="E44" s="66" t="s">
        <v>481</v>
      </c>
      <c r="F44" s="66" t="s">
        <v>209</v>
      </c>
      <c r="G44" s="66" t="s">
        <v>480</v>
      </c>
    </row>
    <row r="45" customFormat="false" ht="15" hidden="false" customHeight="false" outlineLevel="0" collapsed="false">
      <c r="E45" s="66" t="s">
        <v>486</v>
      </c>
      <c r="F45" s="66" t="s">
        <v>209</v>
      </c>
      <c r="G45" s="66" t="s">
        <v>485</v>
      </c>
    </row>
    <row r="46" customFormat="false" ht="15" hidden="false" customHeight="false" outlineLevel="0" collapsed="false">
      <c r="E46" s="66" t="s">
        <v>492</v>
      </c>
      <c r="F46" s="66" t="s">
        <v>209</v>
      </c>
      <c r="G46" s="66" t="s">
        <v>491</v>
      </c>
    </row>
    <row r="47" customFormat="false" ht="15" hidden="false" customHeight="false" outlineLevel="0" collapsed="false">
      <c r="E47" s="66" t="s">
        <v>497</v>
      </c>
      <c r="F47" s="66" t="s">
        <v>209</v>
      </c>
      <c r="G47" s="66" t="s">
        <v>496</v>
      </c>
    </row>
    <row r="48" customFormat="false" ht="15" hidden="false" customHeight="false" outlineLevel="0" collapsed="false">
      <c r="E48" s="66" t="s">
        <v>502</v>
      </c>
      <c r="F48" s="66" t="s">
        <v>209</v>
      </c>
      <c r="G48" s="66" t="s">
        <v>501</v>
      </c>
    </row>
    <row r="49" customFormat="false" ht="15" hidden="false" customHeight="false" outlineLevel="0" collapsed="false">
      <c r="E49" s="66" t="s">
        <v>507</v>
      </c>
      <c r="F49" s="66" t="s">
        <v>209</v>
      </c>
      <c r="G49" s="66" t="s">
        <v>506</v>
      </c>
    </row>
    <row r="50" customFormat="false" ht="15" hidden="false" customHeight="false" outlineLevel="0" collapsed="false">
      <c r="E50" s="66" t="s">
        <v>512</v>
      </c>
      <c r="F50" s="66" t="s">
        <v>210</v>
      </c>
      <c r="G50" s="66" t="s">
        <v>511</v>
      </c>
    </row>
    <row r="51" customFormat="false" ht="15" hidden="false" customHeight="false" outlineLevel="0" collapsed="false">
      <c r="E51" s="66" t="s">
        <v>516</v>
      </c>
      <c r="F51" s="66" t="s">
        <v>210</v>
      </c>
      <c r="G51" s="66" t="s">
        <v>38</v>
      </c>
    </row>
    <row r="52" customFormat="false" ht="15" hidden="false" customHeight="false" outlineLevel="0" collapsed="false">
      <c r="E52" s="66" t="s">
        <v>521</v>
      </c>
      <c r="F52" s="66" t="s">
        <v>210</v>
      </c>
      <c r="G52" s="66" t="s">
        <v>520</v>
      </c>
    </row>
    <row r="53" customFormat="false" ht="15" hidden="false" customHeight="false" outlineLevel="0" collapsed="false">
      <c r="E53" s="66" t="s">
        <v>525</v>
      </c>
      <c r="F53" s="66" t="s">
        <v>210</v>
      </c>
      <c r="G53" s="66" t="s">
        <v>34</v>
      </c>
    </row>
    <row r="54" customFormat="false" ht="15" hidden="false" customHeight="false" outlineLevel="0" collapsed="false">
      <c r="E54" s="66" t="s">
        <v>528</v>
      </c>
      <c r="F54" s="66" t="s">
        <v>210</v>
      </c>
      <c r="G54" s="66" t="s">
        <v>33</v>
      </c>
    </row>
    <row r="55" customFormat="false" ht="15" hidden="false" customHeight="false" outlineLevel="0" collapsed="false">
      <c r="E55" s="66" t="s">
        <v>533</v>
      </c>
      <c r="F55" s="66" t="s">
        <v>210</v>
      </c>
      <c r="G55" s="66" t="s">
        <v>532</v>
      </c>
    </row>
    <row r="56" customFormat="false" ht="15" hidden="false" customHeight="false" outlineLevel="0" collapsed="false">
      <c r="E56" s="66" t="s">
        <v>538</v>
      </c>
      <c r="F56" s="66" t="s">
        <v>210</v>
      </c>
      <c r="G56" s="66" t="s">
        <v>537</v>
      </c>
    </row>
    <row r="57" customFormat="false" ht="15" hidden="false" customHeight="false" outlineLevel="0" collapsed="false">
      <c r="E57" s="66" t="s">
        <v>543</v>
      </c>
      <c r="F57" s="66" t="s">
        <v>210</v>
      </c>
      <c r="G57" s="66" t="s">
        <v>542</v>
      </c>
    </row>
    <row r="58" customFormat="false" ht="15" hidden="false" customHeight="false" outlineLevel="0" collapsed="false">
      <c r="E58" s="66" t="s">
        <v>547</v>
      </c>
      <c r="F58" s="66" t="s">
        <v>210</v>
      </c>
      <c r="G58" s="66" t="s">
        <v>44</v>
      </c>
    </row>
    <row r="59" customFormat="false" ht="15" hidden="false" customHeight="false" outlineLevel="0" collapsed="false">
      <c r="E59" s="66" t="s">
        <v>551</v>
      </c>
      <c r="F59" s="66" t="s">
        <v>210</v>
      </c>
      <c r="G59" s="66" t="s">
        <v>550</v>
      </c>
    </row>
    <row r="60" customFormat="false" ht="15" hidden="false" customHeight="false" outlineLevel="0" collapsed="false">
      <c r="E60" s="66" t="s">
        <v>556</v>
      </c>
      <c r="F60" s="66" t="s">
        <v>210</v>
      </c>
      <c r="G60" s="66" t="s">
        <v>555</v>
      </c>
    </row>
    <row r="61" customFormat="false" ht="15" hidden="false" customHeight="false" outlineLevel="0" collapsed="false">
      <c r="E61" s="66" t="s">
        <v>560</v>
      </c>
      <c r="F61" s="66" t="s">
        <v>210</v>
      </c>
      <c r="G61" s="66" t="s">
        <v>559</v>
      </c>
    </row>
    <row r="62" customFormat="false" ht="15" hidden="false" customHeight="false" outlineLevel="0" collapsed="false">
      <c r="E62" s="66" t="s">
        <v>564</v>
      </c>
      <c r="F62" s="66" t="s">
        <v>210</v>
      </c>
      <c r="G62" s="66" t="s">
        <v>563</v>
      </c>
    </row>
    <row r="63" customFormat="false" ht="15" hidden="false" customHeight="false" outlineLevel="0" collapsed="false">
      <c r="E63" s="66" t="s">
        <v>569</v>
      </c>
      <c r="F63" s="66" t="s">
        <v>210</v>
      </c>
      <c r="G63" s="66" t="s">
        <v>568</v>
      </c>
    </row>
    <row r="64" customFormat="false" ht="15" hidden="false" customHeight="false" outlineLevel="0" collapsed="false">
      <c r="E64" s="66" t="s">
        <v>574</v>
      </c>
      <c r="F64" s="66" t="s">
        <v>211</v>
      </c>
      <c r="G64" s="66" t="s">
        <v>573</v>
      </c>
    </row>
    <row r="65" customFormat="false" ht="15" hidden="false" customHeight="false" outlineLevel="0" collapsed="false">
      <c r="E65" s="66" t="s">
        <v>578</v>
      </c>
      <c r="F65" s="66" t="s">
        <v>211</v>
      </c>
      <c r="G65" s="66" t="s">
        <v>577</v>
      </c>
    </row>
    <row r="66" customFormat="false" ht="15" hidden="false" customHeight="false" outlineLevel="0" collapsed="false">
      <c r="E66" s="66" t="s">
        <v>582</v>
      </c>
      <c r="F66" s="66" t="s">
        <v>211</v>
      </c>
      <c r="G66" s="66" t="s">
        <v>581</v>
      </c>
    </row>
    <row r="67" customFormat="false" ht="15" hidden="false" customHeight="false" outlineLevel="0" collapsed="false">
      <c r="E67" s="66" t="s">
        <v>587</v>
      </c>
      <c r="F67" s="66" t="s">
        <v>211</v>
      </c>
      <c r="G67" s="66" t="s">
        <v>586</v>
      </c>
    </row>
    <row r="68" customFormat="false" ht="15" hidden="false" customHeight="false" outlineLevel="0" collapsed="false">
      <c r="E68" s="66" t="s">
        <v>592</v>
      </c>
      <c r="F68" s="66" t="s">
        <v>211</v>
      </c>
      <c r="G68" s="66" t="s">
        <v>591</v>
      </c>
    </row>
    <row r="69" customFormat="false" ht="15" hidden="false" customHeight="false" outlineLevel="0" collapsed="false">
      <c r="E69" s="66" t="s">
        <v>597</v>
      </c>
      <c r="F69" s="66" t="s">
        <v>211</v>
      </c>
      <c r="G69" s="66" t="s">
        <v>596</v>
      </c>
    </row>
    <row r="70" customFormat="false" ht="15" hidden="false" customHeight="false" outlineLevel="0" collapsed="false">
      <c r="E70" s="66" t="s">
        <v>602</v>
      </c>
      <c r="F70" s="66" t="s">
        <v>211</v>
      </c>
      <c r="G70" s="66" t="s">
        <v>601</v>
      </c>
    </row>
    <row r="71" customFormat="false" ht="15" hidden="false" customHeight="false" outlineLevel="0" collapsed="false">
      <c r="E71" s="66" t="s">
        <v>605</v>
      </c>
      <c r="F71" s="66" t="s">
        <v>211</v>
      </c>
      <c r="G71" s="66" t="s">
        <v>42</v>
      </c>
    </row>
    <row r="72" customFormat="false" ht="15" hidden="false" customHeight="false" outlineLevel="0" collapsed="false">
      <c r="E72" s="66" t="s">
        <v>610</v>
      </c>
      <c r="F72" s="66" t="s">
        <v>211</v>
      </c>
      <c r="G72" s="66" t="s">
        <v>609</v>
      </c>
    </row>
    <row r="73" customFormat="false" ht="15" hidden="false" customHeight="false" outlineLevel="0" collapsed="false">
      <c r="E73" s="66" t="s">
        <v>614</v>
      </c>
      <c r="F73" s="66" t="s">
        <v>211</v>
      </c>
      <c r="G73" s="66" t="s">
        <v>613</v>
      </c>
    </row>
    <row r="74" customFormat="false" ht="15" hidden="false" customHeight="false" outlineLevel="0" collapsed="false">
      <c r="E74" s="66" t="s">
        <v>619</v>
      </c>
      <c r="F74" s="66" t="s">
        <v>211</v>
      </c>
      <c r="G74" s="66" t="s">
        <v>618</v>
      </c>
    </row>
    <row r="75" customFormat="false" ht="15" hidden="false" customHeight="false" outlineLevel="0" collapsed="false">
      <c r="E75" s="66" t="s">
        <v>624</v>
      </c>
      <c r="F75" s="66" t="s">
        <v>211</v>
      </c>
      <c r="G75" s="66" t="s">
        <v>623</v>
      </c>
    </row>
    <row r="76" customFormat="false" ht="15" hidden="false" customHeight="false" outlineLevel="0" collapsed="false">
      <c r="E76" s="66" t="s">
        <v>627</v>
      </c>
      <c r="F76" s="66" t="s">
        <v>211</v>
      </c>
      <c r="G76" s="66" t="s">
        <v>626</v>
      </c>
    </row>
    <row r="77" customFormat="false" ht="15" hidden="false" customHeight="false" outlineLevel="0" collapsed="false">
      <c r="E77" s="66" t="s">
        <v>632</v>
      </c>
      <c r="F77" s="66" t="s">
        <v>211</v>
      </c>
      <c r="G77" s="66" t="s">
        <v>631</v>
      </c>
    </row>
    <row r="78" customFormat="false" ht="15" hidden="false" customHeight="false" outlineLevel="0" collapsed="false">
      <c r="E78" s="66" t="s">
        <v>636</v>
      </c>
      <c r="F78" s="66" t="s">
        <v>212</v>
      </c>
      <c r="G78" s="66" t="s">
        <v>635</v>
      </c>
    </row>
    <row r="79" customFormat="false" ht="15" hidden="false" customHeight="false" outlineLevel="0" collapsed="false">
      <c r="E79" s="66" t="s">
        <v>640</v>
      </c>
      <c r="F79" s="66" t="s">
        <v>212</v>
      </c>
      <c r="G79" s="66" t="s">
        <v>639</v>
      </c>
    </row>
    <row r="80" customFormat="false" ht="15" hidden="false" customHeight="false" outlineLevel="0" collapsed="false">
      <c r="E80" s="66" t="s">
        <v>645</v>
      </c>
      <c r="F80" s="66" t="s">
        <v>212</v>
      </c>
      <c r="G80" s="66" t="s">
        <v>644</v>
      </c>
    </row>
    <row r="81" customFormat="false" ht="15" hidden="false" customHeight="false" outlineLevel="0" collapsed="false">
      <c r="E81" s="66" t="s">
        <v>649</v>
      </c>
      <c r="F81" s="66" t="s">
        <v>212</v>
      </c>
      <c r="G81" s="66" t="s">
        <v>648</v>
      </c>
    </row>
    <row r="82" customFormat="false" ht="15" hidden="false" customHeight="false" outlineLevel="0" collapsed="false">
      <c r="E82" s="66" t="s">
        <v>653</v>
      </c>
      <c r="F82" s="66" t="s">
        <v>212</v>
      </c>
      <c r="G82" s="66" t="s">
        <v>40</v>
      </c>
    </row>
    <row r="83" customFormat="false" ht="15" hidden="false" customHeight="false" outlineLevel="0" collapsed="false">
      <c r="E83" s="66" t="s">
        <v>657</v>
      </c>
      <c r="F83" s="66" t="s">
        <v>212</v>
      </c>
      <c r="G83" s="66" t="s">
        <v>656</v>
      </c>
    </row>
    <row r="84" customFormat="false" ht="15" hidden="false" customHeight="false" outlineLevel="0" collapsed="false">
      <c r="E84" s="66" t="s">
        <v>662</v>
      </c>
      <c r="F84" s="66" t="s">
        <v>212</v>
      </c>
      <c r="G84" s="66" t="s">
        <v>661</v>
      </c>
    </row>
    <row r="85" customFormat="false" ht="15" hidden="false" customHeight="false" outlineLevel="0" collapsed="false">
      <c r="E85" s="66" t="s">
        <v>667</v>
      </c>
      <c r="F85" s="66" t="s">
        <v>212</v>
      </c>
      <c r="G85" s="66" t="s">
        <v>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2026-10-05T05:56:29Z</dcterms:created>
  <dc:creator>openpyxl</dc:creator>
  <dc:description/>
  <dc:language>en-US</dc:language>
  <cp:lastModifiedBy/>
  <dcterms:modified xsi:type="dcterms:W3CDTF">2026-10-05T05:56:31Z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